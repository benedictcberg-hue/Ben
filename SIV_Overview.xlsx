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_Info" state="visible" r:id="rId4"/>
    <sheet sheetId="2" name="Questions_Input" state="visible" r:id="rId5"/>
    <sheet sheetId="3" name="Issue_Log" state="visible" r:id="rId6"/>
    <sheet sheetId="4" name="Observation_Log" state="visible" r:id="rId7"/>
    <sheet sheetId="5" name="Follow_Up_Items" state="visible" r:id="rId8"/>
    <sheet sheetId="6" name="Report_Comments" state="visible" r:id="rId9"/>
  </sheets>
  <calcPr calcId="171027"/>
</workbook>
</file>

<file path=xl/sharedStrings.xml><?xml version="1.0" encoding="utf-8"?>
<sst xmlns="http://schemas.openxmlformats.org/spreadsheetml/2006/main" count="1587" uniqueCount="305">
  <si>
    <t>AstraZeneca — Initiation Visit Report</t>
  </si>
  <si>
    <t>Version 18.0  |  Form Doc Number: TMP-0010246  |  Parent Doc Number: SOP-0066820</t>
  </si>
  <si>
    <t>Study Code</t>
  </si>
  <si>
    <t>Eliminate-2 (D7261C00005)</t>
  </si>
  <si>
    <t>Vorab</t>
  </si>
  <si>
    <t>Study Site Number</t>
  </si>
  <si>
    <t/>
  </si>
  <si>
    <t>Principal Investigator</t>
  </si>
  <si>
    <t>Study Site Address</t>
  </si>
  <si>
    <t>Monitor Name</t>
  </si>
  <si>
    <t>Visit Date(s)</t>
  </si>
  <si>
    <t>Visit Conducted</t>
  </si>
  <si>
    <t>In Person</t>
  </si>
  <si>
    <t>Reason for remote (if applicable)</t>
  </si>
  <si>
    <t>Monitoring Event Reviewed?</t>
  </si>
  <si>
    <t>Yes</t>
  </si>
  <si>
    <t>Vor Ort</t>
  </si>
  <si>
    <t>Reviewed By</t>
  </si>
  <si>
    <t>Date Review Completed</t>
  </si>
  <si>
    <t>Report Author</t>
  </si>
  <si>
    <t>Report Status</t>
  </si>
  <si>
    <t>Draft</t>
  </si>
  <si>
    <t>Colour legend:  Vorab (blau) = vor dem Besuch ausfüllbar  |  Vor Ort (gelb) = erst am Besuchstag zu bestätigen</t>
  </si>
  <si>
    <t>Personnel Present</t>
  </si>
  <si>
    <t>Name</t>
  </si>
  <si>
    <t>Role / Function</t>
  </si>
  <si>
    <t>Present (Y/N)</t>
  </si>
  <si>
    <t>Principal Investigator (PI)</t>
  </si>
  <si>
    <t>Sub-Investigator (Sub-I)</t>
  </si>
  <si>
    <t>Study Coordinator (SC)</t>
  </si>
  <si>
    <t>Study Nurse</t>
  </si>
  <si>
    <t>MSLM</t>
  </si>
  <si>
    <t>LSAD</t>
  </si>
  <si>
    <t>Lead-CRA</t>
  </si>
  <si>
    <t>Other</t>
  </si>
  <si>
    <t>Section</t>
  </si>
  <si>
    <t>Q ID</t>
  </si>
  <si>
    <t>Question Text</t>
  </si>
  <si>
    <t>Expected</t>
  </si>
  <si>
    <t>Has HOLD</t>
  </si>
  <si>
    <t>Has ISS</t>
  </si>
  <si>
    <t>Has ESC</t>
  </si>
  <si>
    <t>TIMING</t>
  </si>
  <si>
    <t>YOUR ANSWER ▼</t>
  </si>
  <si>
    <t>IS_DEVIATION</t>
  </si>
  <si>
    <t>Placeholder: Date 1</t>
  </si>
  <si>
    <t>Placeholder: Date 2</t>
  </si>
  <si>
    <t>Placeholder: Name</t>
  </si>
  <si>
    <t>Placeholder: Version/Ref</t>
  </si>
  <si>
    <t>Notes / Comments</t>
  </si>
  <si>
    <t>1</t>
  </si>
  <si>
    <t>1.1</t>
  </si>
  <si>
    <t>Study rationale and objectives?</t>
  </si>
  <si>
    <t>The objective of this "pre-approval" SIV was conducted for training purposes only.</t>
  </si>
  <si>
    <t>1.2</t>
  </si>
  <si>
    <t>Clinical Study Protocol requirements, including adherence thereto?</t>
  </si>
  <si>
    <t>Training was provided according to SIV PPT V.x.x. dated YYYY MMM DD and CSP V.X.X.</t>
  </si>
  <si>
    <t>1.3</t>
  </si>
  <si>
    <t>Key elements of the Investigator's Brochure?</t>
  </si>
  <si>
    <t>MSLM/CRA/LSAD discussed these with the PI/SI/SC.</t>
  </si>
  <si>
    <t>1.4</t>
  </si>
  <si>
    <t>Study timelines?</t>
  </si>
  <si>
    <t>PI/SI confirmed enrollment of 14 patients; first screening/randomization planned YYYY MM DD.</t>
  </si>
  <si>
    <t>1.5</t>
  </si>
  <si>
    <t>Study assessments and visit schedule?</t>
  </si>
  <si>
    <t>CRA discussed in detail according to CSP V x.x.</t>
  </si>
  <si>
    <t>1.6</t>
  </si>
  <si>
    <t>Procedures for screening, enrolment, randomisation and premature discontinuation?</t>
  </si>
  <si>
    <t>1.7</t>
  </si>
  <si>
    <t>Inclusion/exclusion criteria?</t>
  </si>
  <si>
    <t>1.8</t>
  </si>
  <si>
    <t>Subject information and consent requirements?</t>
  </si>
  <si>
    <t>CRA discussed in detail according to CSP V x.x. See also 1.1 regarding Pre-Approval nature.</t>
  </si>
  <si>
    <t>1.9</t>
  </si>
  <si>
    <t>Adverse Event reporting?</t>
  </si>
  <si>
    <t>CRA discussed AE reporting procedures in detail according to CSP V x.x.</t>
  </si>
  <si>
    <t>1.10</t>
  </si>
  <si>
    <t>SAE reporting, follow up process and causality?</t>
  </si>
  <si>
    <t>1.11</t>
  </si>
  <si>
    <t>Pregnancy, Overdose, Medication Error, Drug Misuse &amp; Abuse procedures?</t>
  </si>
  <si>
    <t>HIGH risk for theft discussed — site to notify Monitor immediately, no later than 24h.</t>
  </si>
  <si>
    <t>1.12</t>
  </si>
  <si>
    <t>Doses and study drug regimens including disallowed/concomitant medication?</t>
  </si>
  <si>
    <t>MSLM, CRA, LSAD discussed in detail and site is in agreement.</t>
  </si>
  <si>
    <t>1.13</t>
  </si>
  <si>
    <t>Procedures for study drug handling?</t>
  </si>
  <si>
    <t>MSLM, CRA, LSAD discussed in detail. See also 1.1 Pre-Approval nature.</t>
  </si>
  <si>
    <t>1.14</t>
  </si>
  <si>
    <t>Emergency unblinding procedures, if applicable?</t>
  </si>
  <si>
    <t>Yes/NA</t>
  </si>
  <si>
    <t>NA — This study is open label.</t>
  </si>
  <si>
    <t>1.14.1</t>
  </si>
  <si>
    <t>PI delegated Sub-I for Emergency Unblinding on DoR Log?</t>
  </si>
  <si>
    <t>1.15</t>
  </si>
  <si>
    <t>Requirements for the content of medical records?</t>
  </si>
  <si>
    <t>CRA discussed in detail; site is in agreement.</t>
  </si>
  <si>
    <t>1.16</t>
  </si>
  <si>
    <t>Procedures for sample collection, processing, labelling, storage, tracking and shipping?</t>
  </si>
  <si>
    <t>CRA discussed with the site in detail.</t>
  </si>
  <si>
    <t>1.17</t>
  </si>
  <si>
    <t>Requirements for risk samples, if applicable?</t>
  </si>
  <si>
    <t>NA.</t>
  </si>
  <si>
    <t>1.18</t>
  </si>
  <si>
    <t>Equipment including maintenance and calibration?</t>
  </si>
  <si>
    <t>All certificates and calibrations are in place and were reviewed.</t>
  </si>
  <si>
    <t>1.19</t>
  </si>
  <si>
    <t>Data recording (paper/eCRF), data query requirements, timelines and procedures?</t>
  </si>
  <si>
    <t>Site is fully trained and accesses are working/were requested.</t>
  </si>
  <si>
    <t>1.20</t>
  </si>
  <si>
    <t>Obligation to inform sponsor of urgent safety measures?</t>
  </si>
  <si>
    <t>Site to immediately notify Study Clinical Lead and Clinical Team.</t>
  </si>
  <si>
    <t>1.21</t>
  </si>
  <si>
    <t>Obligation to report non-compliance/serious breach?</t>
  </si>
  <si>
    <t>1.22</t>
  </si>
  <si>
    <t>Comments regarding Training of Study Site Personnel.</t>
  </si>
  <si>
    <t>The listed Personnel was fully trained. ICF versions, IP Handling Manual, Biological Sample Handling, ISF and Vendors discussed.</t>
  </si>
  <si>
    <t>2</t>
  </si>
  <si>
    <t>2.1</t>
  </si>
  <si>
    <t>Were the number of subjects (overall and per site) discussed with the site?</t>
  </si>
  <si>
    <t>PI confirmed 14 patients; first screening/randomization planned YYYY MM DD.</t>
  </si>
  <si>
    <t>2.2</t>
  </si>
  <si>
    <t>Were advertisements for subject recruitment (if applicable) discussed?</t>
  </si>
  <si>
    <t>See 1.1 regarding Pre-Approval nature of this visit.</t>
  </si>
  <si>
    <t>2.3</t>
  </si>
  <si>
    <t>Were materials (Thank You cards, Ongoing Communications, Trial Results Summaries) discussed?</t>
  </si>
  <si>
    <t>CRA/LSAD discussed patient-reimbursement and retention. Thank You Cards in German discussed.</t>
  </si>
  <si>
    <t>3</t>
  </si>
  <si>
    <t>3.1</t>
  </si>
  <si>
    <t>Were responsibilities for obtaining approval for updated CSP, ICFs and patient facing materials discussed?</t>
  </si>
  <si>
    <t>Site was informed no patient procedures before sponsor approval via "Ready To Enrollment".</t>
  </si>
  <si>
    <t>3.2</t>
  </si>
  <si>
    <t>Were responsibilities for reporting ISIs, safety information and progress reports to IRB/IEC discussed?</t>
  </si>
  <si>
    <t>NA — Sponsor will report accordingly and inform sites.</t>
  </si>
  <si>
    <t>3.3</t>
  </si>
  <si>
    <t>Comments regarding IRB/IEC and Regulatory Authority Responsibilities.</t>
  </si>
  <si>
    <t>Please refer to 3.2.</t>
  </si>
  <si>
    <t>4</t>
  </si>
  <si>
    <t>4.1</t>
  </si>
  <si>
    <t>Were remote monitoring visits discussed? Is key contact agreed?</t>
  </si>
  <si>
    <t>CRA discussed REMs regularly; main SC is contact; medical queries forwarded to PI/SI.</t>
  </si>
  <si>
    <t>4.2</t>
  </si>
  <si>
    <t>Are Investigators aware to contact monitor at time of enrolment of first subject?</t>
  </si>
  <si>
    <t>Site is aware; first RMV after first patient screened.</t>
  </si>
  <si>
    <t>4.3</t>
  </si>
  <si>
    <t>Were on-site monitoring procedures and frequency discussed?</t>
  </si>
  <si>
    <t>CRA discussed frequency; site is in agreement.</t>
  </si>
  <si>
    <t>4.4</t>
  </si>
  <si>
    <t>Were remote monitoring procedures and centralized monitoring discussed?</t>
  </si>
  <si>
    <t>CRA discussed in detail. Site is in agreement.</t>
  </si>
  <si>
    <t>4.5</t>
  </si>
  <si>
    <t>Were SDV requirements and access to original records discussed?</t>
  </si>
  <si>
    <t>Site using printouts/EMR; CRA will get access according to 21 CFR Part 11.</t>
  </si>
  <si>
    <t>4.6</t>
  </si>
  <si>
    <t>If EMR is used: confirmed local or remote CRA access?</t>
  </si>
  <si>
    <t>CRA will get access only to study patients according to 21 CFR Part 11.</t>
  </si>
  <si>
    <t>4.7</t>
  </si>
  <si>
    <t>Are Local Laboratory reference ranges available and up to date?</t>
  </si>
  <si>
    <t>NA — Site using local lab for quick check; Central Lab used in general.</t>
  </si>
  <si>
    <t>4.8</t>
  </si>
  <si>
    <t>Comments regarding Monitoring and Source Data Verification.</t>
  </si>
  <si>
    <t>CRA discussed all applicable study patient data need to be reviewed on an ongoing basis.</t>
  </si>
  <si>
    <t>5</t>
  </si>
  <si>
    <t>5.1</t>
  </si>
  <si>
    <t>Is the study drug storage facility considered adequate (security, temperature)?</t>
  </si>
  <si>
    <t>CRA checked the facility and considered it adequate.</t>
  </si>
  <si>
    <t>5.2</t>
  </si>
  <si>
    <t>Comments regarding Study Drug.</t>
  </si>
  <si>
    <t>See 1.1. IP restrictions communicated. Initial IP Shipment triggered once IP Greenlight activities completed. Site must inform LST prior any new patient screening/randomization.</t>
  </si>
  <si>
    <t>6</t>
  </si>
  <si>
    <t>6.1</t>
  </si>
  <si>
    <t>Is there an appropriate storage area for samples (security, temperature)?</t>
  </si>
  <si>
    <t>Lab Samples will be stored in secured fridge/freezer at -20°C and/or -80°C.</t>
  </si>
  <si>
    <t>6.2</t>
  </si>
  <si>
    <t>Have the required accreditation(s)/licenses been collected?</t>
  </si>
  <si>
    <t>CRA checked during SIV.</t>
  </si>
  <si>
    <t>6.3</t>
  </si>
  <si>
    <t>Comments regarding Human Biological Samples.</t>
  </si>
  <si>
    <t>NA — Central Lab will be used. Main SC is IATA trained. AZ HbS Log Vx to be used.</t>
  </si>
  <si>
    <t>7</t>
  </si>
  <si>
    <t>7.1</t>
  </si>
  <si>
    <t>Is the set-up of WBDC, Randomization and RTSM/IRT/IxRS at the site complete?</t>
  </si>
  <si>
    <t>All accesses provided. SC activated; PI/SI accesses pending after Pre-Approval SIV.</t>
  </si>
  <si>
    <t>7.2</t>
  </si>
  <si>
    <t>Is WBDC, RTSM training complete and access confirmed?</t>
  </si>
  <si>
    <t>The whole Site Team is fully activated.</t>
  </si>
  <si>
    <t>7.3</t>
  </si>
  <si>
    <t>Comments regarding WBDC / Randomization and Trial Supply Management.</t>
  </si>
  <si>
    <t>WBDC and IRT systems trained during SIV. IRT access: active/pending. RAVE access: active/pending.</t>
  </si>
  <si>
    <t>8</t>
  </si>
  <si>
    <t>8.1</t>
  </si>
  <si>
    <t>Is the ePRO storage facility considered adequate?</t>
  </si>
  <si>
    <t>CRA checked and considered facility adequate.</t>
  </si>
  <si>
    <t>8.2</t>
  </si>
  <si>
    <t>Is ePRO training complete and access confirmed?</t>
  </si>
  <si>
    <t>Whole Site Team fully activated. E-learning required for: [list].</t>
  </si>
  <si>
    <t>8.3</t>
  </si>
  <si>
    <t>Were contingency plans for ePRO system failure discussed?</t>
  </si>
  <si>
    <t>CRA discussed the details with the site.</t>
  </si>
  <si>
    <t>8.4</t>
  </si>
  <si>
    <t>Comments regarding Electronic Patient Reported Outcome.</t>
  </si>
  <si>
    <t>9</t>
  </si>
  <si>
    <t>9.1</t>
  </si>
  <si>
    <t>Is an up-to-date Investigator Study File available and appropriately stored?</t>
  </si>
  <si>
    <t>ISF reviewed; documents will be provided after IEC Approval and RtE.</t>
  </si>
  <si>
    <t>9.2</t>
  </si>
  <si>
    <t>Is a signed Clinical Study Protocol available and appropriately stored?</t>
  </si>
  <si>
    <t>NA — Will be provided after IEC Approval; PI Signature to be collected.</t>
  </si>
  <si>
    <t>9.3</t>
  </si>
  <si>
    <t>Are signed CSA and Source Data Agreement available and appropriately stored?</t>
  </si>
  <si>
    <t>CSA fully executed. SDA collected during SIV.</t>
  </si>
  <si>
    <t>9.4</t>
  </si>
  <si>
    <t>Is a current Investigator Brochure available and appropriately stored?</t>
  </si>
  <si>
    <t>NA — Will be provided after IEC Approval. See 1.3.</t>
  </si>
  <si>
    <t>9.5</t>
  </si>
  <si>
    <t>Are ePRO supplies and user instructions available and stored?</t>
  </si>
  <si>
    <t>NA — Will be provided after IEC Approval.</t>
  </si>
  <si>
    <t>9.6</t>
  </si>
  <si>
    <t>Are Emergency unblinding tools available (if applicable)?</t>
  </si>
  <si>
    <t>NA — Open label study.</t>
  </si>
  <si>
    <t>9.7</t>
  </si>
  <si>
    <t>Are paper CRFs available and appropriately stored (if applicable)?</t>
  </si>
  <si>
    <t>NA — Electronic CRF is used.</t>
  </si>
  <si>
    <t>9.8</t>
  </si>
  <si>
    <t>Are subject diary cards, questionnaires, participation cards available and IRB/IEC-approved?</t>
  </si>
  <si>
    <t>No — Patient material will be provided after site RtE.</t>
  </si>
  <si>
    <t>9.9</t>
  </si>
  <si>
    <t>Are laboratory supplies available and appropriately stored?</t>
  </si>
  <si>
    <t>9.10</t>
  </si>
  <si>
    <t>Is Study Drug available and appropriately stored?</t>
  </si>
  <si>
    <t>Study drug shipment triggered once site activated in IRT system.</t>
  </si>
  <si>
    <t>9.11</t>
  </si>
  <si>
    <t>Comments regarding Study Materials and Supplies.</t>
  </si>
  <si>
    <t>10</t>
  </si>
  <si>
    <t>10.1</t>
  </si>
  <si>
    <t>Were CSA requirements and Source Data location discussed?</t>
  </si>
  <si>
    <t>CSA completed. CRA will have access to all needed source data.</t>
  </si>
  <si>
    <t>10.2</t>
  </si>
  <si>
    <t>Does PI understand responsibility to supervise delegated duties?</t>
  </si>
  <si>
    <t>PI is fully aware of responsibility.</t>
  </si>
  <si>
    <t>10.3</t>
  </si>
  <si>
    <t>Was delegation of responsibilities within Study Site Team discussed?</t>
  </si>
  <si>
    <t>DOR completed during SIV. Scan collected and will be filed in eTMF.</t>
  </si>
  <si>
    <t>10.4</t>
  </si>
  <si>
    <t>Were ISF requirements and responsibilities discussed?</t>
  </si>
  <si>
    <t>10.5</t>
  </si>
  <si>
    <t>Were archiving responsibilities discussed?</t>
  </si>
  <si>
    <t>Site archive will be X.</t>
  </si>
  <si>
    <t>10.6</t>
  </si>
  <si>
    <t>Were Financial Disclosure requirements discussed?</t>
  </si>
  <si>
    <t>FDFs completed and collected from PI/SI.</t>
  </si>
  <si>
    <t>10.7</t>
  </si>
  <si>
    <t>Were potential audit/inspection responsibilities discussed?</t>
  </si>
  <si>
    <t>Site will inform CRA/LSAD immediately upon receiving any audit/inspection notification.</t>
  </si>
  <si>
    <t>10.8</t>
  </si>
  <si>
    <t>Was site provided with AstraZeneca contact information?</t>
  </si>
  <si>
    <t>ISF reviewed during SIV including AZ contact information.</t>
  </si>
  <si>
    <t>10.9</t>
  </si>
  <si>
    <t>Was site provided with WBDC IS Service Desk contact information?</t>
  </si>
  <si>
    <t>10.10</t>
  </si>
  <si>
    <t>Was site provided with ePRO Service Provider Helpdesk contact?</t>
  </si>
  <si>
    <t>10.11</t>
  </si>
  <si>
    <t>Was Sponsor obligation to provide new Safety Information discussed?</t>
  </si>
  <si>
    <t>New safety information via Veeva Site Connect; PI and SI must acknowledge electronically.</t>
  </si>
  <si>
    <t>10.12</t>
  </si>
  <si>
    <t>Were other digital or electronic tools used in the study discussed?</t>
  </si>
  <si>
    <t>Tools: MonTE (IMP temp tracking), Signant Health, IRT &amp; eCOA/ePRO, iMediData Rave EDC, IOVIA Central Lab, ICON Adjudication, Teckro.</t>
  </si>
  <si>
    <t>10.13</t>
  </si>
  <si>
    <t>Comments regarding Other Study Requirements.</t>
  </si>
  <si>
    <t>Issue Log</t>
  </si>
  <si>
    <t>Issue No.</t>
  </si>
  <si>
    <t>Subject ID</t>
  </si>
  <si>
    <t>Category</t>
  </si>
  <si>
    <t>Summary</t>
  </si>
  <si>
    <t>Created By</t>
  </si>
  <si>
    <t>Status</t>
  </si>
  <si>
    <t>Issue Description</t>
  </si>
  <si>
    <t>Action Description</t>
  </si>
  <si>
    <t>Action Due Date</t>
  </si>
  <si>
    <t>Observation Log</t>
  </si>
  <si>
    <t>Obs No.</t>
  </si>
  <si>
    <t>Priority</t>
  </si>
  <si>
    <t>Date Identified</t>
  </si>
  <si>
    <t>Description</t>
  </si>
  <si>
    <t>Actions Description</t>
  </si>
  <si>
    <t>Actions Due Date</t>
  </si>
  <si>
    <t>Updates</t>
  </si>
  <si>
    <t>Actual Completion Date</t>
  </si>
  <si>
    <t>Follow Up Items</t>
  </si>
  <si>
    <t>Action Item</t>
  </si>
  <si>
    <t>Responsible Party</t>
  </si>
  <si>
    <t>Date Resolved</t>
  </si>
  <si>
    <t>Comments</t>
  </si>
  <si>
    <t>Report Comments — Auto-generated from Questions_Input (do not edit this sheet directly)</t>
  </si>
  <si>
    <t>Section Title</t>
  </si>
  <si>
    <t>Generated Comment</t>
  </si>
  <si>
    <t>Training of Study Personnel</t>
  </si>
  <si>
    <t>Subject Requirements and Procedures</t>
  </si>
  <si>
    <t>IRB/IEC and Regulatory Authority Responsibilities</t>
  </si>
  <si>
    <t>Monitoring and Source Data Verification</t>
  </si>
  <si>
    <t>Study Drug</t>
  </si>
  <si>
    <t>Human Biological Samples</t>
  </si>
  <si>
    <t>Web-based Data Capture / Randomization and Trial Supply Management (RTSM, IRT, IxRS)</t>
  </si>
  <si>
    <t>Electronic Patient Reported Outcome (ePRO)</t>
  </si>
  <si>
    <t>Study Materials and Supplies</t>
  </si>
  <si>
    <t>Other Study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</si>
</sst>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FFFFFF"/>
      <sz val="9"/>
      <name val="Arial"/>
    </font>
    <font>
      <b/>
      <color rgb="00395D"/>
      <sz val="10"/>
      <name val="Arial"/>
    </font>
    <font>
      <sz val="10"/>
      <name val="Arial"/>
    </font>
    <font>
      <b/>
      <color rgb="FF1E40AF"/>
      <sz val="9"/>
      <name val="Arial"/>
    </font>
    <font>
      <b/>
      <color rgb="FF92400E"/>
      <sz val="9"/>
      <name val="Arial"/>
    </font>
    <font>
      <i/>
      <color rgb="FF444444"/>
      <sz val="8.5"/>
      <name val="Arial"/>
    </font>
    <font>
      <b/>
      <color rgb="FFFFFFFF"/>
      <sz val="10"/>
      <name val="Arial"/>
    </font>
    <font>
      <b/>
      <color rgb="FF721C24"/>
      <sz val="11"/>
      <name val="Arial"/>
    </font>
    <font>
      <i/>
      <sz val="9"/>
      <name val="Arial"/>
    </font>
    <font>
      <b/>
      <color rgb="FFFFFFFF"/>
      <sz val="12"/>
      <name val="Arial"/>
    </font>
    <font>
      <b/>
      <color rgb="FFFFFFFF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00395D"/>
      </patternFill>
    </fill>
    <fill>
      <patternFill patternType="solid">
        <fgColor rgb="FFF2F2F2"/>
      </patternFill>
    </fill>
    <fill>
      <patternFill patternType="solid">
        <fgColor rgb="FFFFF0CC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8D7DA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CC"/>
      </left>
      <right style="thin">
        <color rgb="FFAAAACC"/>
      </right>
      <top style="thin">
        <color rgb="FFAAAACC"/>
      </top>
      <bottom style="thin">
        <color rgb="FFAAAA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9" fillId="7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10" fillId="3" borderId="0" xfId="0" applyFont="1" applyFill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11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4EDDA"/>
        </patternFill>
      </fill>
    </dxf>
    <dxf>
      <fill>
        <patternFill patternType="solid">
          <bgColor rgb="FFF8D7DA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F8D7DA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FFFFF3CD"/>
        </patternFill>
      </fill>
    </dxf>
    <dxf>
      <fill>
        <patternFill patternType="solid"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FormatPr defaultRowHeight="15" outlineLevelRow="0" outlineLevelCol="0" x14ac:dyDescent="55"/>
  <cols>
    <col min="1" max="1" width="36" customWidth="1"/>
    <col min="2" max="2" width="46" customWidth="1"/>
    <col min="3" max="3" width="12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ht="20" customHeight="1" spans="1:3" x14ac:dyDescent="0.25">
      <c r="A3" s="3" t="s">
        <v>2</v>
      </c>
      <c r="B3" s="4" t="s">
        <v>3</v>
      </c>
      <c r="C3" s="5" t="s">
        <v>4</v>
      </c>
    </row>
    <row r="4" ht="20" customHeight="1" spans="1:3" x14ac:dyDescent="0.25">
      <c r="A4" s="3" t="s">
        <v>5</v>
      </c>
      <c r="B4" s="4" t="s">
        <v>6</v>
      </c>
      <c r="C4" s="5" t="s">
        <v>4</v>
      </c>
    </row>
    <row r="5" ht="20" customHeight="1" spans="1:3" x14ac:dyDescent="0.25">
      <c r="A5" s="3" t="s">
        <v>7</v>
      </c>
      <c r="B5" s="4" t="s">
        <v>6</v>
      </c>
      <c r="C5" s="5" t="s">
        <v>4</v>
      </c>
    </row>
    <row r="6" ht="20" customHeight="1" spans="1:3" x14ac:dyDescent="0.25">
      <c r="A6" s="3" t="s">
        <v>8</v>
      </c>
      <c r="B6" s="4" t="s">
        <v>6</v>
      </c>
      <c r="C6" s="5" t="s">
        <v>4</v>
      </c>
    </row>
    <row r="7" ht="20" customHeight="1" spans="1:3" x14ac:dyDescent="0.25">
      <c r="A7" s="3" t="s">
        <v>9</v>
      </c>
      <c r="B7" s="4" t="s">
        <v>6</v>
      </c>
      <c r="C7" s="5" t="s">
        <v>4</v>
      </c>
    </row>
    <row r="8" ht="20" customHeight="1" spans="1:3" x14ac:dyDescent="0.25">
      <c r="A8" s="3" t="s">
        <v>10</v>
      </c>
      <c r="B8" s="4" t="s">
        <v>6</v>
      </c>
      <c r="C8" s="5" t="s">
        <v>4</v>
      </c>
    </row>
    <row r="9" ht="20" customHeight="1" spans="1:3" x14ac:dyDescent="0.25">
      <c r="A9" s="3" t="s">
        <v>11</v>
      </c>
      <c r="B9" s="4" t="s">
        <v>12</v>
      </c>
      <c r="C9" s="5" t="s">
        <v>4</v>
      </c>
    </row>
    <row r="10" ht="20" customHeight="1" spans="1:3" x14ac:dyDescent="0.25">
      <c r="A10" s="3" t="s">
        <v>13</v>
      </c>
      <c r="B10" s="4" t="s">
        <v>6</v>
      </c>
      <c r="C10" s="5" t="s">
        <v>4</v>
      </c>
    </row>
    <row r="11" ht="20" customHeight="1" spans="1:3" x14ac:dyDescent="0.25">
      <c r="A11" s="3" t="s">
        <v>14</v>
      </c>
      <c r="B11" s="4" t="s">
        <v>15</v>
      </c>
      <c r="C11" s="6" t="s">
        <v>16</v>
      </c>
    </row>
    <row r="12" ht="20" customHeight="1" spans="1:3" x14ac:dyDescent="0.25">
      <c r="A12" s="3" t="s">
        <v>17</v>
      </c>
      <c r="B12" s="4" t="s">
        <v>6</v>
      </c>
      <c r="C12" s="6" t="s">
        <v>16</v>
      </c>
    </row>
    <row r="13" ht="20" customHeight="1" spans="1:3" x14ac:dyDescent="0.25">
      <c r="A13" s="3" t="s">
        <v>18</v>
      </c>
      <c r="B13" s="4" t="s">
        <v>6</v>
      </c>
      <c r="C13" s="6" t="s">
        <v>16</v>
      </c>
    </row>
    <row r="14" ht="20" customHeight="1" spans="1:3" x14ac:dyDescent="0.25">
      <c r="A14" s="3" t="s">
        <v>19</v>
      </c>
      <c r="B14" s="4" t="s">
        <v>6</v>
      </c>
      <c r="C14" s="5" t="s">
        <v>4</v>
      </c>
    </row>
    <row r="15" ht="20" customHeight="1" spans="1:3" x14ac:dyDescent="0.25">
      <c r="A15" s="3" t="s">
        <v>20</v>
      </c>
      <c r="B15" s="4" t="s">
        <v>21</v>
      </c>
      <c r="C15" s="6" t="s">
        <v>16</v>
      </c>
    </row>
    <row r="17" ht="18" customHeight="1" spans="1:3" x14ac:dyDescent="0.25">
      <c r="A17" s="7" t="s">
        <v>22</v>
      </c>
      <c r="B17" s="7"/>
      <c r="C17" s="7"/>
    </row>
    <row r="19" spans="1:3" x14ac:dyDescent="0.25">
      <c r="A19" s="8" t="s">
        <v>23</v>
      </c>
      <c r="B19" s="8"/>
      <c r="C19" s="8"/>
    </row>
    <row r="20" spans="1:3" x14ac:dyDescent="0.25">
      <c r="A20" s="8" t="s">
        <v>24</v>
      </c>
      <c r="B20" s="8" t="s">
        <v>25</v>
      </c>
      <c r="C20" s="8" t="s">
        <v>26</v>
      </c>
    </row>
    <row r="21" ht="18" customHeight="1" spans="1:3" x14ac:dyDescent="0.25">
      <c r="A21" s="4" t="s">
        <v>6</v>
      </c>
      <c r="B21" s="9" t="s">
        <v>27</v>
      </c>
      <c r="C21" s="4" t="s">
        <v>6</v>
      </c>
    </row>
    <row r="22" ht="18" customHeight="1" spans="1:3" x14ac:dyDescent="0.25">
      <c r="A22" s="4" t="s">
        <v>6</v>
      </c>
      <c r="B22" s="9" t="s">
        <v>28</v>
      </c>
      <c r="C22" s="4" t="s">
        <v>6</v>
      </c>
    </row>
    <row r="23" ht="18" customHeight="1" spans="1:3" x14ac:dyDescent="0.25">
      <c r="A23" s="4" t="s">
        <v>6</v>
      </c>
      <c r="B23" s="9" t="s">
        <v>29</v>
      </c>
      <c r="C23" s="4" t="s">
        <v>6</v>
      </c>
    </row>
    <row r="24" ht="18" customHeight="1" spans="1:3" x14ac:dyDescent="0.25">
      <c r="A24" s="4" t="s">
        <v>6</v>
      </c>
      <c r="B24" s="9" t="s">
        <v>30</v>
      </c>
      <c r="C24" s="4" t="s">
        <v>6</v>
      </c>
    </row>
    <row r="25" ht="18" customHeight="1" spans="1:3" x14ac:dyDescent="0.25">
      <c r="A25" s="4" t="s">
        <v>6</v>
      </c>
      <c r="B25" s="9" t="s">
        <v>31</v>
      </c>
      <c r="C25" s="4" t="s">
        <v>6</v>
      </c>
    </row>
    <row r="26" ht="18" customHeight="1" spans="1:3" x14ac:dyDescent="0.25">
      <c r="A26" s="4" t="s">
        <v>6</v>
      </c>
      <c r="B26" s="9" t="s">
        <v>32</v>
      </c>
      <c r="C26" s="4" t="s">
        <v>6</v>
      </c>
    </row>
    <row r="27" ht="18" customHeight="1" spans="1:3" x14ac:dyDescent="0.25">
      <c r="A27" s="4" t="s">
        <v>6</v>
      </c>
      <c r="B27" s="9" t="s">
        <v>33</v>
      </c>
      <c r="C27" s="4" t="s">
        <v>6</v>
      </c>
    </row>
    <row r="28" ht="18" customHeight="1" spans="1:3" x14ac:dyDescent="0.25">
      <c r="A28" s="4" t="s">
        <v>6</v>
      </c>
      <c r="B28" s="9" t="s">
        <v>34</v>
      </c>
      <c r="C28" s="4" t="s">
        <v>6</v>
      </c>
    </row>
    <row r="29" ht="18" customHeight="1" spans="1:3" x14ac:dyDescent="0.25">
      <c r="A29" s="4" t="s">
        <v>6</v>
      </c>
      <c r="B29" s="9" t="s">
        <v>34</v>
      </c>
      <c r="C29" s="4" t="s">
        <v>6</v>
      </c>
    </row>
    <row r="30" ht="18" customHeight="1" spans="1:3" x14ac:dyDescent="0.25">
      <c r="A30" s="4" t="s">
        <v>6</v>
      </c>
      <c r="B30" s="9" t="s">
        <v>34</v>
      </c>
      <c r="C30" s="4" t="s">
        <v>6</v>
      </c>
    </row>
  </sheetData>
  <mergeCells count="4">
    <mergeCell ref="A1:C1"/>
    <mergeCell ref="A2:C2"/>
    <mergeCell ref="A17:C17"/>
    <mergeCell ref="A19:C19"/>
  </mergeCells>
  <dataValidations count="4">
    <dataValidation type="list" allowBlank="1" sqref="B11">
      <formula1>"Yes,No"</formula1>
    </dataValidation>
    <dataValidation type="list" allowBlank="1" sqref="B15">
      <formula1>"Draft,Final"</formula1>
    </dataValidation>
    <dataValidation type="list" allowBlank="1" showErrorMessage="1" error="Please choose from the list." sqref="B9">
      <formula1>"In Person,Remotely,Both"</formula1>
    </dataValidation>
    <dataValidation type="list" allowBlank="1" sqref="C21:C30">
      <formula1>"Y,N"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3" max="3" width="48" customWidth="1"/>
    <col min="4" max="4" width="11" customWidth="1"/>
    <col min="8" max="8" width="10" customWidth="1"/>
    <col min="9" max="9" width="11" customWidth="1"/>
    <col min="10" max="10" width="12" customWidth="1"/>
    <col min="11" max="14" width="18" customWidth="1"/>
    <col min="15" max="15" width="35" customWidth="1"/>
  </cols>
  <sheetData>
    <row r="1" ht="22" customHeight="1" spans="1:15" x14ac:dyDescent="0.25">
      <c r="A1" s="10">
        <f>=IF(SUMPRODUCT((Questions_Input!J3:J75=TRUE)*(Questions_Input!E3:E75=TRUE))&gt;0,"⚠  SITE ON HOLD — resolve outstanding HOLD items before activation","")</f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28" customHeight="1" spans="1:15" x14ac:dyDescent="0.25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 t="s">
        <v>45</v>
      </c>
      <c r="L2" s="11" t="s">
        <v>46</v>
      </c>
      <c r="M2" s="11" t="s">
        <v>47</v>
      </c>
      <c r="N2" s="11" t="s">
        <v>48</v>
      </c>
      <c r="O2" s="11" t="s">
        <v>49</v>
      </c>
    </row>
    <row r="3" ht="45" customHeight="1" spans="1:15" x14ac:dyDescent="0.25">
      <c r="A3" s="12" t="s">
        <v>50</v>
      </c>
      <c r="B3" s="12" t="s">
        <v>51</v>
      </c>
      <c r="C3" s="9" t="s">
        <v>52</v>
      </c>
      <c r="D3" s="12" t="s">
        <v>15</v>
      </c>
      <c r="E3" s="12" t="b">
        <v>0</v>
      </c>
      <c r="F3" s="12" t="b">
        <v>0</v>
      </c>
      <c r="G3" s="12" t="b">
        <v>0</v>
      </c>
      <c r="H3" s="13" t="s">
        <v>16</v>
      </c>
      <c r="I3" s="14" t="s">
        <v>6</v>
      </c>
      <c r="J3" s="15">
        <f>=IF(I3="",FALSE,IF(D3="Yes",OR(I3="No",I3="NA"),IF(D3="Yes/NA",I3="No",IF(D3="No",OR(I3="Yes",I3="NA"),FALSE))))</f>
      </c>
      <c r="K3" s="4" t="s">
        <v>6</v>
      </c>
      <c r="L3" s="4" t="s">
        <v>6</v>
      </c>
      <c r="M3" s="4" t="s">
        <v>6</v>
      </c>
      <c r="N3" s="4" t="s">
        <v>6</v>
      </c>
      <c r="O3" s="4" t="s">
        <v>53</v>
      </c>
    </row>
    <row r="4" ht="45" customHeight="1" spans="1:15" x14ac:dyDescent="0.25">
      <c r="A4" s="12" t="s">
        <v>50</v>
      </c>
      <c r="B4" s="12" t="s">
        <v>54</v>
      </c>
      <c r="C4" s="9" t="s">
        <v>55</v>
      </c>
      <c r="D4" s="12" t="s">
        <v>15</v>
      </c>
      <c r="E4" s="12" t="b">
        <v>0</v>
      </c>
      <c r="F4" s="12" t="b">
        <v>0</v>
      </c>
      <c r="G4" s="12" t="b">
        <v>0</v>
      </c>
      <c r="H4" s="13" t="s">
        <v>16</v>
      </c>
      <c r="I4" s="14" t="s">
        <v>6</v>
      </c>
      <c r="J4" s="15">
        <f>=IF(I4="",FALSE,IF(D4="Yes",OR(I4="No",I4="NA"),IF(D4="Yes/NA",I4="No",IF(D4="No",OR(I4="Yes",I4="NA"),FALSE))))</f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56</v>
      </c>
    </row>
    <row r="5" ht="45" customHeight="1" spans="1:15" x14ac:dyDescent="0.25">
      <c r="A5" s="12" t="s">
        <v>50</v>
      </c>
      <c r="B5" s="12" t="s">
        <v>57</v>
      </c>
      <c r="C5" s="9" t="s">
        <v>58</v>
      </c>
      <c r="D5" s="12" t="s">
        <v>15</v>
      </c>
      <c r="E5" s="12" t="b">
        <v>0</v>
      </c>
      <c r="F5" s="12" t="b">
        <v>0</v>
      </c>
      <c r="G5" s="12" t="b">
        <v>0</v>
      </c>
      <c r="H5" s="13" t="s">
        <v>16</v>
      </c>
      <c r="I5" s="14" t="s">
        <v>6</v>
      </c>
      <c r="J5" s="15">
        <f>=IF(I5="",FALSE,IF(D5="Yes",OR(I5="No",I5="NA"),IF(D5="Yes/NA",I5="No",IF(D5="No",OR(I5="Yes",I5="NA"),FALSE))))</f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59</v>
      </c>
    </row>
    <row r="6" ht="45" customHeight="1" spans="1:15" x14ac:dyDescent="0.25">
      <c r="A6" s="12" t="s">
        <v>50</v>
      </c>
      <c r="B6" s="12" t="s">
        <v>60</v>
      </c>
      <c r="C6" s="9" t="s">
        <v>61</v>
      </c>
      <c r="D6" s="12" t="s">
        <v>15</v>
      </c>
      <c r="E6" s="12" t="b">
        <v>0</v>
      </c>
      <c r="F6" s="12" t="b">
        <v>0</v>
      </c>
      <c r="G6" s="12" t="b">
        <v>0</v>
      </c>
      <c r="H6" s="13" t="s">
        <v>16</v>
      </c>
      <c r="I6" s="14" t="s">
        <v>6</v>
      </c>
      <c r="J6" s="15">
        <f>=IF(I6="",FALSE,IF(D6="Yes",OR(I6="No",I6="NA"),IF(D6="Yes/NA",I6="No",IF(D6="No",OR(I6="Yes",I6="NA"),FALSE))))</f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62</v>
      </c>
    </row>
    <row r="7" ht="45" customHeight="1" spans="1:15" x14ac:dyDescent="0.25">
      <c r="A7" s="12" t="s">
        <v>50</v>
      </c>
      <c r="B7" s="12" t="s">
        <v>63</v>
      </c>
      <c r="C7" s="9" t="s">
        <v>64</v>
      </c>
      <c r="D7" s="12" t="s">
        <v>15</v>
      </c>
      <c r="E7" s="12" t="b">
        <v>0</v>
      </c>
      <c r="F7" s="12" t="b">
        <v>0</v>
      </c>
      <c r="G7" s="12" t="b">
        <v>0</v>
      </c>
      <c r="H7" s="13" t="s">
        <v>16</v>
      </c>
      <c r="I7" s="14" t="s">
        <v>6</v>
      </c>
      <c r="J7" s="15">
        <f>=IF(I7="",FALSE,IF(D7="Yes",OR(I7="No",I7="NA"),IF(D7="Yes/NA",I7="No",IF(D7="No",OR(I7="Yes",I7="NA"),FALSE))))</f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65</v>
      </c>
    </row>
    <row r="8" ht="45" customHeight="1" spans="1:15" x14ac:dyDescent="0.25">
      <c r="A8" s="12" t="s">
        <v>50</v>
      </c>
      <c r="B8" s="12" t="s">
        <v>66</v>
      </c>
      <c r="C8" s="9" t="s">
        <v>67</v>
      </c>
      <c r="D8" s="12" t="s">
        <v>15</v>
      </c>
      <c r="E8" s="12" t="b">
        <v>0</v>
      </c>
      <c r="F8" s="12" t="b">
        <v>0</v>
      </c>
      <c r="G8" s="12" t="b">
        <v>0</v>
      </c>
      <c r="H8" s="13" t="s">
        <v>16</v>
      </c>
      <c r="I8" s="14" t="s">
        <v>6</v>
      </c>
      <c r="J8" s="15">
        <f>=IF(I8="",FALSE,IF(D8="Yes",OR(I8="No",I8="NA"),IF(D8="Yes/NA",I8="No",IF(D8="No",OR(I8="Yes",I8="NA"),FALSE))))</f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65</v>
      </c>
    </row>
    <row r="9" ht="45" customHeight="1" spans="1:15" x14ac:dyDescent="0.25">
      <c r="A9" s="12" t="s">
        <v>50</v>
      </c>
      <c r="B9" s="12" t="s">
        <v>68</v>
      </c>
      <c r="C9" s="9" t="s">
        <v>69</v>
      </c>
      <c r="D9" s="12" t="s">
        <v>15</v>
      </c>
      <c r="E9" s="12" t="b">
        <v>0</v>
      </c>
      <c r="F9" s="12" t="b">
        <v>0</v>
      </c>
      <c r="G9" s="12" t="b">
        <v>0</v>
      </c>
      <c r="H9" s="13" t="s">
        <v>16</v>
      </c>
      <c r="I9" s="14" t="s">
        <v>6</v>
      </c>
      <c r="J9" s="15">
        <f>=IF(I9="",FALSE,IF(D9="Yes",OR(I9="No",I9="NA"),IF(D9="Yes/NA",I9="No",IF(D9="No",OR(I9="Yes",I9="NA"),FALSE))))</f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65</v>
      </c>
    </row>
    <row r="10" ht="45" customHeight="1" spans="1:15" x14ac:dyDescent="0.25">
      <c r="A10" s="12" t="s">
        <v>50</v>
      </c>
      <c r="B10" s="12" t="s">
        <v>70</v>
      </c>
      <c r="C10" s="9" t="s">
        <v>71</v>
      </c>
      <c r="D10" s="12" t="s">
        <v>15</v>
      </c>
      <c r="E10" s="12" t="b">
        <v>0</v>
      </c>
      <c r="F10" s="12" t="b">
        <v>0</v>
      </c>
      <c r="G10" s="12" t="b">
        <v>0</v>
      </c>
      <c r="H10" s="13" t="s">
        <v>16</v>
      </c>
      <c r="I10" s="14" t="s">
        <v>6</v>
      </c>
      <c r="J10" s="15">
        <f>=IF(I10="",FALSE,IF(D10="Yes",OR(I10="No",I10="NA"),IF(D10="Yes/NA",I10="No",IF(D10="No",OR(I10="Yes",I10="NA"),FALSE))))</f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72</v>
      </c>
    </row>
    <row r="11" ht="45" customHeight="1" spans="1:15" x14ac:dyDescent="0.25">
      <c r="A11" s="12" t="s">
        <v>50</v>
      </c>
      <c r="B11" s="12" t="s">
        <v>73</v>
      </c>
      <c r="C11" s="9" t="s">
        <v>74</v>
      </c>
      <c r="D11" s="12" t="s">
        <v>15</v>
      </c>
      <c r="E11" s="12" t="b">
        <v>0</v>
      </c>
      <c r="F11" s="12" t="b">
        <v>0</v>
      </c>
      <c r="G11" s="12" t="b">
        <v>0</v>
      </c>
      <c r="H11" s="13" t="s">
        <v>16</v>
      </c>
      <c r="I11" s="14" t="s">
        <v>6</v>
      </c>
      <c r="J11" s="15">
        <f>=IF(I11="",FALSE,IF(D11="Yes",OR(I11="No",I11="NA"),IF(D11="Yes/NA",I11="No",IF(D11="No",OR(I11="Yes",I11="NA"),FALSE))))</f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75</v>
      </c>
    </row>
    <row r="12" ht="45" customHeight="1" spans="1:15" x14ac:dyDescent="0.25">
      <c r="A12" s="12" t="s">
        <v>50</v>
      </c>
      <c r="B12" s="12" t="s">
        <v>76</v>
      </c>
      <c r="C12" s="9" t="s">
        <v>77</v>
      </c>
      <c r="D12" s="12" t="s">
        <v>15</v>
      </c>
      <c r="E12" s="12" t="b">
        <v>0</v>
      </c>
      <c r="F12" s="12" t="b">
        <v>0</v>
      </c>
      <c r="G12" s="12" t="b">
        <v>0</v>
      </c>
      <c r="H12" s="13" t="s">
        <v>16</v>
      </c>
      <c r="I12" s="14" t="s">
        <v>6</v>
      </c>
      <c r="J12" s="15">
        <f>=IF(I12="",FALSE,IF(D12="Yes",OR(I12="No",I12="NA"),IF(D12="Yes/NA",I12="No",IF(D12="No",OR(I12="Yes",I12="NA"),FALSE))))</f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65</v>
      </c>
    </row>
    <row r="13" ht="45" customHeight="1" spans="1:15" x14ac:dyDescent="0.25">
      <c r="A13" s="12" t="s">
        <v>50</v>
      </c>
      <c r="B13" s="12" t="s">
        <v>78</v>
      </c>
      <c r="C13" s="9" t="s">
        <v>79</v>
      </c>
      <c r="D13" s="12" t="s">
        <v>15</v>
      </c>
      <c r="E13" s="12" t="b">
        <v>0</v>
      </c>
      <c r="F13" s="12" t="b">
        <v>0</v>
      </c>
      <c r="G13" s="12" t="b">
        <v>0</v>
      </c>
      <c r="H13" s="13" t="s">
        <v>16</v>
      </c>
      <c r="I13" s="14" t="s">
        <v>6</v>
      </c>
      <c r="J13" s="15">
        <f>=IF(I13="",FALSE,IF(D13="Yes",OR(I13="No",I13="NA"),IF(D13="Yes/NA",I13="No",IF(D13="No",OR(I13="Yes",I13="NA"),FALSE))))</f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80</v>
      </c>
    </row>
    <row r="14" ht="45" customHeight="1" spans="1:15" x14ac:dyDescent="0.25">
      <c r="A14" s="12" t="s">
        <v>50</v>
      </c>
      <c r="B14" s="12" t="s">
        <v>81</v>
      </c>
      <c r="C14" s="9" t="s">
        <v>82</v>
      </c>
      <c r="D14" s="12" t="s">
        <v>15</v>
      </c>
      <c r="E14" s="12" t="b">
        <v>0</v>
      </c>
      <c r="F14" s="12" t="b">
        <v>0</v>
      </c>
      <c r="G14" s="12" t="b">
        <v>0</v>
      </c>
      <c r="H14" s="13" t="s">
        <v>16</v>
      </c>
      <c r="I14" s="14" t="s">
        <v>6</v>
      </c>
      <c r="J14" s="15">
        <f>=IF(I14="",FALSE,IF(D14="Yes",OR(I14="No",I14="NA"),IF(D14="Yes/NA",I14="No",IF(D14="No",OR(I14="Yes",I14="NA"),FALSE))))</f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83</v>
      </c>
    </row>
    <row r="15" ht="45" customHeight="1" spans="1:15" x14ac:dyDescent="0.25">
      <c r="A15" s="12" t="s">
        <v>50</v>
      </c>
      <c r="B15" s="12" t="s">
        <v>84</v>
      </c>
      <c r="C15" s="9" t="s">
        <v>85</v>
      </c>
      <c r="D15" s="12" t="s">
        <v>15</v>
      </c>
      <c r="E15" s="12" t="b">
        <v>0</v>
      </c>
      <c r="F15" s="12" t="b">
        <v>0</v>
      </c>
      <c r="G15" s="12" t="b">
        <v>0</v>
      </c>
      <c r="H15" s="13" t="s">
        <v>16</v>
      </c>
      <c r="I15" s="14" t="s">
        <v>6</v>
      </c>
      <c r="J15" s="15">
        <f>=IF(I15="",FALSE,IF(D15="Yes",OR(I15="No",I15="NA"),IF(D15="Yes/NA",I15="No",IF(D15="No",OR(I15="Yes",I15="NA"),FALSE))))</f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86</v>
      </c>
    </row>
    <row r="16" ht="45" customHeight="1" spans="1:15" x14ac:dyDescent="0.25">
      <c r="A16" s="12" t="s">
        <v>50</v>
      </c>
      <c r="B16" s="12" t="s">
        <v>87</v>
      </c>
      <c r="C16" s="9" t="s">
        <v>88</v>
      </c>
      <c r="D16" s="12" t="s">
        <v>89</v>
      </c>
      <c r="E16" s="12" t="b">
        <v>0</v>
      </c>
      <c r="F16" s="12" t="b">
        <v>0</v>
      </c>
      <c r="G16" s="12" t="b">
        <v>0</v>
      </c>
      <c r="H16" s="13" t="s">
        <v>16</v>
      </c>
      <c r="I16" s="14" t="s">
        <v>6</v>
      </c>
      <c r="J16" s="15">
        <f>=IF(I16="",FALSE,IF(D16="Yes",OR(I16="No",I16="NA"),IF(D16="Yes/NA",I16="No",IF(D16="No",OR(I16="Yes",I16="NA"),FALSE))))</f>
      </c>
      <c r="K16" s="4" t="s">
        <v>6</v>
      </c>
      <c r="L16" s="4" t="s">
        <v>6</v>
      </c>
      <c r="M16" s="4" t="s">
        <v>6</v>
      </c>
      <c r="N16" s="4" t="s">
        <v>6</v>
      </c>
      <c r="O16" s="4" t="s">
        <v>90</v>
      </c>
    </row>
    <row r="17" ht="45" customHeight="1" spans="1:15" x14ac:dyDescent="0.25">
      <c r="A17" s="12" t="s">
        <v>50</v>
      </c>
      <c r="B17" s="12" t="s">
        <v>91</v>
      </c>
      <c r="C17" s="9" t="s">
        <v>92</v>
      </c>
      <c r="D17" s="12" t="s">
        <v>89</v>
      </c>
      <c r="E17" s="12" t="b">
        <v>0</v>
      </c>
      <c r="F17" s="12" t="b">
        <v>0</v>
      </c>
      <c r="G17" s="12" t="b">
        <v>0</v>
      </c>
      <c r="H17" s="13" t="s">
        <v>16</v>
      </c>
      <c r="I17" s="14" t="s">
        <v>6</v>
      </c>
      <c r="J17" s="15">
        <f>=IF(I17="",FALSE,IF(D17="Yes",OR(I17="No",I17="NA"),IF(D17="Yes/NA",I17="No",IF(D17="No",OR(I17="Yes",I17="NA"),FALSE))))</f>
      </c>
      <c r="K17" s="4" t="s">
        <v>6</v>
      </c>
      <c r="L17" s="4" t="s">
        <v>6</v>
      </c>
      <c r="M17" s="4" t="s">
        <v>6</v>
      </c>
      <c r="N17" s="4" t="s">
        <v>6</v>
      </c>
      <c r="O17" s="4" t="s">
        <v>90</v>
      </c>
    </row>
    <row r="18" ht="45" customHeight="1" spans="1:15" x14ac:dyDescent="0.25">
      <c r="A18" s="12" t="s">
        <v>50</v>
      </c>
      <c r="B18" s="12" t="s">
        <v>93</v>
      </c>
      <c r="C18" s="9" t="s">
        <v>94</v>
      </c>
      <c r="D18" s="12" t="s">
        <v>15</v>
      </c>
      <c r="E18" s="12" t="b">
        <v>0</v>
      </c>
      <c r="F18" s="12" t="b">
        <v>0</v>
      </c>
      <c r="G18" s="12" t="b">
        <v>0</v>
      </c>
      <c r="H18" s="13" t="s">
        <v>16</v>
      </c>
      <c r="I18" s="14" t="s">
        <v>6</v>
      </c>
      <c r="J18" s="15">
        <f>=IF(I18="",FALSE,IF(D18="Yes",OR(I18="No",I18="NA"),IF(D18="Yes/NA",I18="No",IF(D18="No",OR(I18="Yes",I18="NA"),FALSE))))</f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95</v>
      </c>
    </row>
    <row r="19" ht="45" customHeight="1" spans="1:15" x14ac:dyDescent="0.25">
      <c r="A19" s="12" t="s">
        <v>50</v>
      </c>
      <c r="B19" s="12" t="s">
        <v>96</v>
      </c>
      <c r="C19" s="9" t="s">
        <v>97</v>
      </c>
      <c r="D19" s="12" t="s">
        <v>15</v>
      </c>
      <c r="E19" s="12" t="b">
        <v>0</v>
      </c>
      <c r="F19" s="12" t="b">
        <v>0</v>
      </c>
      <c r="G19" s="12" t="b">
        <v>0</v>
      </c>
      <c r="H19" s="13" t="s">
        <v>16</v>
      </c>
      <c r="I19" s="14" t="s">
        <v>6</v>
      </c>
      <c r="J19" s="15">
        <f>=IF(I19="",FALSE,IF(D19="Yes",OR(I19="No",I19="NA"),IF(D19="Yes/NA",I19="No",IF(D19="No",OR(I19="Yes",I19="NA"),FALSE))))</f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98</v>
      </c>
    </row>
    <row r="20" ht="45" customHeight="1" spans="1:15" x14ac:dyDescent="0.25">
      <c r="A20" s="12" t="s">
        <v>50</v>
      </c>
      <c r="B20" s="12" t="s">
        <v>99</v>
      </c>
      <c r="C20" s="9" t="s">
        <v>100</v>
      </c>
      <c r="D20" s="12" t="s">
        <v>89</v>
      </c>
      <c r="E20" s="12" t="b">
        <v>0</v>
      </c>
      <c r="F20" s="12" t="b">
        <v>0</v>
      </c>
      <c r="G20" s="12" t="b">
        <v>0</v>
      </c>
      <c r="H20" s="13" t="s">
        <v>16</v>
      </c>
      <c r="I20" s="14" t="s">
        <v>6</v>
      </c>
      <c r="J20" s="15">
        <f>=IF(I20="",FALSE,IF(D20="Yes",OR(I20="No",I20="NA"),IF(D20="Yes/NA",I20="No",IF(D20="No",OR(I20="Yes",I20="NA"),FALSE))))</f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101</v>
      </c>
    </row>
    <row r="21" ht="45" customHeight="1" spans="1:15" x14ac:dyDescent="0.25">
      <c r="A21" s="12" t="s">
        <v>50</v>
      </c>
      <c r="B21" s="12" t="s">
        <v>102</v>
      </c>
      <c r="C21" s="9" t="s">
        <v>103</v>
      </c>
      <c r="D21" s="12" t="s">
        <v>15</v>
      </c>
      <c r="E21" s="12" t="b">
        <v>0</v>
      </c>
      <c r="F21" s="12" t="b">
        <v>0</v>
      </c>
      <c r="G21" s="12" t="b">
        <v>0</v>
      </c>
      <c r="H21" s="13" t="s">
        <v>16</v>
      </c>
      <c r="I21" s="14" t="s">
        <v>6</v>
      </c>
      <c r="J21" s="15">
        <f>=IF(I21="",FALSE,IF(D21="Yes",OR(I21="No",I21="NA"),IF(D21="Yes/NA",I21="No",IF(D21="No",OR(I21="Yes",I21="NA"),FALSE))))</f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104</v>
      </c>
    </row>
    <row r="22" ht="45" customHeight="1" spans="1:15" x14ac:dyDescent="0.25">
      <c r="A22" s="12" t="s">
        <v>50</v>
      </c>
      <c r="B22" s="12" t="s">
        <v>105</v>
      </c>
      <c r="C22" s="9" t="s">
        <v>106</v>
      </c>
      <c r="D22" s="12" t="s">
        <v>15</v>
      </c>
      <c r="E22" s="12" t="b">
        <v>0</v>
      </c>
      <c r="F22" s="12" t="b">
        <v>0</v>
      </c>
      <c r="G22" s="12" t="b">
        <v>0</v>
      </c>
      <c r="H22" s="13" t="s">
        <v>16</v>
      </c>
      <c r="I22" s="14" t="s">
        <v>6</v>
      </c>
      <c r="J22" s="15">
        <f>=IF(I22="",FALSE,IF(D22="Yes",OR(I22="No",I22="NA"),IF(D22="Yes/NA",I22="No",IF(D22="No",OR(I22="Yes",I22="NA"),FALSE))))</f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107</v>
      </c>
    </row>
    <row r="23" ht="45" customHeight="1" spans="1:15" x14ac:dyDescent="0.25">
      <c r="A23" s="12" t="s">
        <v>50</v>
      </c>
      <c r="B23" s="12" t="s">
        <v>108</v>
      </c>
      <c r="C23" s="9" t="s">
        <v>109</v>
      </c>
      <c r="D23" s="12" t="s">
        <v>15</v>
      </c>
      <c r="E23" s="12" t="b">
        <v>0</v>
      </c>
      <c r="F23" s="12" t="b">
        <v>0</v>
      </c>
      <c r="G23" s="12" t="b">
        <v>0</v>
      </c>
      <c r="H23" s="13" t="s">
        <v>16</v>
      </c>
      <c r="I23" s="14" t="s">
        <v>6</v>
      </c>
      <c r="J23" s="15">
        <f>=IF(I23="",FALSE,IF(D23="Yes",OR(I23="No",I23="NA"),IF(D23="Yes/NA",I23="No",IF(D23="No",OR(I23="Yes",I23="NA"),FALSE))))</f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110</v>
      </c>
    </row>
    <row r="24" ht="45" customHeight="1" spans="1:15" x14ac:dyDescent="0.25">
      <c r="A24" s="12" t="s">
        <v>50</v>
      </c>
      <c r="B24" s="12" t="s">
        <v>111</v>
      </c>
      <c r="C24" s="9" t="s">
        <v>112</v>
      </c>
      <c r="D24" s="12" t="s">
        <v>15</v>
      </c>
      <c r="E24" s="12" t="b">
        <v>0</v>
      </c>
      <c r="F24" s="12" t="b">
        <v>0</v>
      </c>
      <c r="G24" s="12" t="b">
        <v>0</v>
      </c>
      <c r="H24" s="13" t="s">
        <v>16</v>
      </c>
      <c r="I24" s="14" t="s">
        <v>6</v>
      </c>
      <c r="J24" s="15">
        <f>=IF(I24="",FALSE,IF(D24="Yes",OR(I24="No",I24="NA"),IF(D24="Yes/NA",I24="No",IF(D24="No",OR(I24="Yes",I24="NA"),FALSE))))</f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83</v>
      </c>
    </row>
    <row r="25" ht="45" customHeight="1" spans="1:15" x14ac:dyDescent="0.25">
      <c r="A25" s="12" t="s">
        <v>50</v>
      </c>
      <c r="B25" s="12" t="s">
        <v>113</v>
      </c>
      <c r="C25" s="9" t="s">
        <v>114</v>
      </c>
      <c r="D25" s="12" t="s">
        <v>15</v>
      </c>
      <c r="E25" s="12" t="b">
        <v>0</v>
      </c>
      <c r="F25" s="12" t="b">
        <v>0</v>
      </c>
      <c r="G25" s="12" t="b">
        <v>0</v>
      </c>
      <c r="H25" s="13" t="s">
        <v>16</v>
      </c>
      <c r="I25" s="14" t="s">
        <v>6</v>
      </c>
      <c r="J25" s="15">
        <f>=IF(I25="",FALSE,IF(D25="Yes",OR(I25="No",I25="NA"),IF(D25="Yes/NA",I25="No",IF(D25="No",OR(I25="Yes",I25="NA"),FALSE))))</f>
      </c>
      <c r="K25" s="4" t="s">
        <v>6</v>
      </c>
      <c r="L25" s="4" t="s">
        <v>6</v>
      </c>
      <c r="M25" s="4" t="s">
        <v>6</v>
      </c>
      <c r="N25" s="4" t="s">
        <v>6</v>
      </c>
      <c r="O25" s="4" t="s">
        <v>115</v>
      </c>
    </row>
    <row r="26" ht="45" customHeight="1" spans="1:15" x14ac:dyDescent="0.25">
      <c r="A26" s="12" t="s">
        <v>116</v>
      </c>
      <c r="B26" s="12" t="s">
        <v>117</v>
      </c>
      <c r="C26" s="9" t="s">
        <v>118</v>
      </c>
      <c r="D26" s="12" t="s">
        <v>15</v>
      </c>
      <c r="E26" s="12" t="b">
        <v>0</v>
      </c>
      <c r="F26" s="12" t="b">
        <v>0</v>
      </c>
      <c r="G26" s="12" t="b">
        <v>0</v>
      </c>
      <c r="H26" s="16" t="s">
        <v>4</v>
      </c>
      <c r="I26" s="14" t="s">
        <v>6</v>
      </c>
      <c r="J26" s="15">
        <f>=IF(I26="",FALSE,IF(D26="Yes",OR(I26="No",I26="NA"),IF(D26="Yes/NA",I26="No",IF(D26="No",OR(I26="Yes",I26="NA"),FALSE))))</f>
      </c>
      <c r="K26" s="4" t="s">
        <v>6</v>
      </c>
      <c r="L26" s="4" t="s">
        <v>6</v>
      </c>
      <c r="M26" s="4" t="s">
        <v>6</v>
      </c>
      <c r="N26" s="4" t="s">
        <v>6</v>
      </c>
      <c r="O26" s="4" t="s">
        <v>119</v>
      </c>
    </row>
    <row r="27" ht="45" customHeight="1" spans="1:15" x14ac:dyDescent="0.25">
      <c r="A27" s="12" t="s">
        <v>116</v>
      </c>
      <c r="B27" s="12" t="s">
        <v>120</v>
      </c>
      <c r="C27" s="9" t="s">
        <v>121</v>
      </c>
      <c r="D27" s="12" t="s">
        <v>89</v>
      </c>
      <c r="E27" s="12" t="b">
        <v>0</v>
      </c>
      <c r="F27" s="12" t="b">
        <v>0</v>
      </c>
      <c r="G27" s="12" t="b">
        <v>0</v>
      </c>
      <c r="H27" s="13" t="s">
        <v>16</v>
      </c>
      <c r="I27" s="14" t="s">
        <v>6</v>
      </c>
      <c r="J27" s="15">
        <f>=IF(I27="",FALSE,IF(D27="Yes",OR(I27="No",I27="NA"),IF(D27="Yes/NA",I27="No",IF(D27="No",OR(I27="Yes",I27="NA"),FALSE))))</f>
      </c>
      <c r="K27" s="4" t="s">
        <v>6</v>
      </c>
      <c r="L27" s="4" t="s">
        <v>6</v>
      </c>
      <c r="M27" s="4" t="s">
        <v>6</v>
      </c>
      <c r="N27" s="4" t="s">
        <v>6</v>
      </c>
      <c r="O27" s="4" t="s">
        <v>122</v>
      </c>
    </row>
    <row r="28" ht="45" customHeight="1" spans="1:15" x14ac:dyDescent="0.25">
      <c r="A28" s="12" t="s">
        <v>116</v>
      </c>
      <c r="B28" s="12" t="s">
        <v>123</v>
      </c>
      <c r="C28" s="9" t="s">
        <v>124</v>
      </c>
      <c r="D28" s="12" t="s">
        <v>15</v>
      </c>
      <c r="E28" s="12" t="b">
        <v>0</v>
      </c>
      <c r="F28" s="12" t="b">
        <v>0</v>
      </c>
      <c r="G28" s="12" t="b">
        <v>0</v>
      </c>
      <c r="H28" s="13" t="s">
        <v>16</v>
      </c>
      <c r="I28" s="14" t="s">
        <v>6</v>
      </c>
      <c r="J28" s="15">
        <f>=IF(I28="",FALSE,IF(D28="Yes",OR(I28="No",I28="NA"),IF(D28="Yes/NA",I28="No",IF(D28="No",OR(I28="Yes",I28="NA"),FALSE))))</f>
      </c>
      <c r="K28" s="4" t="s">
        <v>6</v>
      </c>
      <c r="L28" s="4" t="s">
        <v>6</v>
      </c>
      <c r="M28" s="4" t="s">
        <v>6</v>
      </c>
      <c r="N28" s="4" t="s">
        <v>6</v>
      </c>
      <c r="O28" s="4" t="s">
        <v>125</v>
      </c>
    </row>
    <row r="29" ht="45" customHeight="1" spans="1:15" x14ac:dyDescent="0.25">
      <c r="A29" s="12" t="s">
        <v>126</v>
      </c>
      <c r="B29" s="12" t="s">
        <v>127</v>
      </c>
      <c r="C29" s="9" t="s">
        <v>128</v>
      </c>
      <c r="D29" s="12" t="s">
        <v>15</v>
      </c>
      <c r="E29" s="12" t="b">
        <v>0</v>
      </c>
      <c r="F29" s="12" t="b">
        <v>0</v>
      </c>
      <c r="G29" s="12" t="b">
        <v>0</v>
      </c>
      <c r="H29" s="13" t="s">
        <v>16</v>
      </c>
      <c r="I29" s="14" t="s">
        <v>6</v>
      </c>
      <c r="J29" s="15">
        <f>=IF(I29="",FALSE,IF(D29="Yes",OR(I29="No",I29="NA"),IF(D29="Yes/NA",I29="No",IF(D29="No",OR(I29="Yes",I29="NA"),FALSE))))</f>
      </c>
      <c r="K29" s="4" t="s">
        <v>6</v>
      </c>
      <c r="L29" s="4" t="s">
        <v>6</v>
      </c>
      <c r="M29" s="4" t="s">
        <v>6</v>
      </c>
      <c r="N29" s="4" t="s">
        <v>6</v>
      </c>
      <c r="O29" s="4" t="s">
        <v>129</v>
      </c>
    </row>
    <row r="30" ht="45" customHeight="1" spans="1:15" x14ac:dyDescent="0.25">
      <c r="A30" s="12" t="s">
        <v>126</v>
      </c>
      <c r="B30" s="12" t="s">
        <v>130</v>
      </c>
      <c r="C30" s="9" t="s">
        <v>131</v>
      </c>
      <c r="D30" s="12" t="s">
        <v>89</v>
      </c>
      <c r="E30" s="12" t="b">
        <v>0</v>
      </c>
      <c r="F30" s="12" t="b">
        <v>0</v>
      </c>
      <c r="G30" s="12" t="b">
        <v>0</v>
      </c>
      <c r="H30" s="16" t="s">
        <v>4</v>
      </c>
      <c r="I30" s="14" t="s">
        <v>6</v>
      </c>
      <c r="J30" s="15">
        <f>=IF(I30="",FALSE,IF(D30="Yes",OR(I30="No",I30="NA"),IF(D30="Yes/NA",I30="No",IF(D30="No",OR(I30="Yes",I30="NA"),FALSE))))</f>
      </c>
      <c r="K30" s="4" t="s">
        <v>6</v>
      </c>
      <c r="L30" s="4" t="s">
        <v>6</v>
      </c>
      <c r="M30" s="4" t="s">
        <v>6</v>
      </c>
      <c r="N30" s="4" t="s">
        <v>6</v>
      </c>
      <c r="O30" s="4" t="s">
        <v>132</v>
      </c>
    </row>
    <row r="31" ht="45" customHeight="1" spans="1:15" x14ac:dyDescent="0.25">
      <c r="A31" s="12" t="s">
        <v>126</v>
      </c>
      <c r="B31" s="12" t="s">
        <v>133</v>
      </c>
      <c r="C31" s="9" t="s">
        <v>134</v>
      </c>
      <c r="D31" s="12" t="s">
        <v>15</v>
      </c>
      <c r="E31" s="12" t="b">
        <v>0</v>
      </c>
      <c r="F31" s="12" t="b">
        <v>0</v>
      </c>
      <c r="G31" s="12" t="b">
        <v>0</v>
      </c>
      <c r="H31" s="13" t="s">
        <v>16</v>
      </c>
      <c r="I31" s="14" t="s">
        <v>6</v>
      </c>
      <c r="J31" s="15">
        <f>=IF(I31="",FALSE,IF(D31="Yes",OR(I31="No",I31="NA"),IF(D31="Yes/NA",I31="No",IF(D31="No",OR(I31="Yes",I31="NA"),FALSE))))</f>
      </c>
      <c r="K31" s="4" t="s">
        <v>6</v>
      </c>
      <c r="L31" s="4" t="s">
        <v>6</v>
      </c>
      <c r="M31" s="4" t="s">
        <v>6</v>
      </c>
      <c r="N31" s="4" t="s">
        <v>6</v>
      </c>
      <c r="O31" s="4" t="s">
        <v>135</v>
      </c>
    </row>
    <row r="32" ht="45" customHeight="1" spans="1:15" x14ac:dyDescent="0.25">
      <c r="A32" s="12" t="s">
        <v>136</v>
      </c>
      <c r="B32" s="12" t="s">
        <v>137</v>
      </c>
      <c r="C32" s="9" t="s">
        <v>138</v>
      </c>
      <c r="D32" s="12" t="s">
        <v>15</v>
      </c>
      <c r="E32" s="12" t="b">
        <v>0</v>
      </c>
      <c r="F32" s="12" t="b">
        <v>0</v>
      </c>
      <c r="G32" s="12" t="b">
        <v>0</v>
      </c>
      <c r="H32" s="13" t="s">
        <v>16</v>
      </c>
      <c r="I32" s="14" t="s">
        <v>6</v>
      </c>
      <c r="J32" s="15">
        <f>=IF(I32="",FALSE,IF(D32="Yes",OR(I32="No",I32="NA"),IF(D32="Yes/NA",I32="No",IF(D32="No",OR(I32="Yes",I32="NA"),FALSE))))</f>
      </c>
      <c r="K32" s="4" t="s">
        <v>6</v>
      </c>
      <c r="L32" s="4" t="s">
        <v>6</v>
      </c>
      <c r="M32" s="4" t="s">
        <v>6</v>
      </c>
      <c r="N32" s="4" t="s">
        <v>6</v>
      </c>
      <c r="O32" s="4" t="s">
        <v>139</v>
      </c>
    </row>
    <row r="33" ht="45" customHeight="1" spans="1:15" x14ac:dyDescent="0.25">
      <c r="A33" s="12" t="s">
        <v>136</v>
      </c>
      <c r="B33" s="12" t="s">
        <v>140</v>
      </c>
      <c r="C33" s="9" t="s">
        <v>141</v>
      </c>
      <c r="D33" s="12" t="s">
        <v>15</v>
      </c>
      <c r="E33" s="12" t="b">
        <v>0</v>
      </c>
      <c r="F33" s="12" t="b">
        <v>0</v>
      </c>
      <c r="G33" s="12" t="b">
        <v>0</v>
      </c>
      <c r="H33" s="13" t="s">
        <v>16</v>
      </c>
      <c r="I33" s="14" t="s">
        <v>6</v>
      </c>
      <c r="J33" s="15">
        <f>=IF(I33="",FALSE,IF(D33="Yes",OR(I33="No",I33="NA"),IF(D33="Yes/NA",I33="No",IF(D33="No",OR(I33="Yes",I33="NA"),FALSE))))</f>
      </c>
      <c r="K33" s="4" t="s">
        <v>6</v>
      </c>
      <c r="L33" s="4" t="s">
        <v>6</v>
      </c>
      <c r="M33" s="4" t="s">
        <v>6</v>
      </c>
      <c r="N33" s="4" t="s">
        <v>6</v>
      </c>
      <c r="O33" s="4" t="s">
        <v>142</v>
      </c>
    </row>
    <row r="34" ht="45" customHeight="1" spans="1:15" x14ac:dyDescent="0.25">
      <c r="A34" s="12" t="s">
        <v>136</v>
      </c>
      <c r="B34" s="12" t="s">
        <v>143</v>
      </c>
      <c r="C34" s="9" t="s">
        <v>144</v>
      </c>
      <c r="D34" s="12" t="s">
        <v>15</v>
      </c>
      <c r="E34" s="12" t="b">
        <v>0</v>
      </c>
      <c r="F34" s="12" t="b">
        <v>0</v>
      </c>
      <c r="G34" s="12" t="b">
        <v>0</v>
      </c>
      <c r="H34" s="13" t="s">
        <v>16</v>
      </c>
      <c r="I34" s="14" t="s">
        <v>6</v>
      </c>
      <c r="J34" s="15">
        <f>=IF(I34="",FALSE,IF(D34="Yes",OR(I34="No",I34="NA"),IF(D34="Yes/NA",I34="No",IF(D34="No",OR(I34="Yes",I34="NA"),FALSE))))</f>
      </c>
      <c r="K34" s="4" t="s">
        <v>6</v>
      </c>
      <c r="L34" s="4" t="s">
        <v>6</v>
      </c>
      <c r="M34" s="4" t="s">
        <v>6</v>
      </c>
      <c r="N34" s="4" t="s">
        <v>6</v>
      </c>
      <c r="O34" s="4" t="s">
        <v>145</v>
      </c>
    </row>
    <row r="35" ht="45" customHeight="1" spans="1:15" x14ac:dyDescent="0.25">
      <c r="A35" s="12" t="s">
        <v>136</v>
      </c>
      <c r="B35" s="12" t="s">
        <v>146</v>
      </c>
      <c r="C35" s="9" t="s">
        <v>147</v>
      </c>
      <c r="D35" s="12" t="s">
        <v>15</v>
      </c>
      <c r="E35" s="12" t="b">
        <v>0</v>
      </c>
      <c r="F35" s="12" t="b">
        <v>0</v>
      </c>
      <c r="G35" s="12" t="b">
        <v>0</v>
      </c>
      <c r="H35" s="13" t="s">
        <v>16</v>
      </c>
      <c r="I35" s="14" t="s">
        <v>6</v>
      </c>
      <c r="J35" s="15">
        <f>=IF(I35="",FALSE,IF(D35="Yes",OR(I35="No",I35="NA"),IF(D35="Yes/NA",I35="No",IF(D35="No",OR(I35="Yes",I35="NA"),FALSE))))</f>
      </c>
      <c r="K35" s="4" t="s">
        <v>6</v>
      </c>
      <c r="L35" s="4" t="s">
        <v>6</v>
      </c>
      <c r="M35" s="4" t="s">
        <v>6</v>
      </c>
      <c r="N35" s="4" t="s">
        <v>6</v>
      </c>
      <c r="O35" s="4" t="s">
        <v>148</v>
      </c>
    </row>
    <row r="36" ht="45" customHeight="1" spans="1:15" x14ac:dyDescent="0.25">
      <c r="A36" s="12" t="s">
        <v>136</v>
      </c>
      <c r="B36" s="12" t="s">
        <v>149</v>
      </c>
      <c r="C36" s="9" t="s">
        <v>150</v>
      </c>
      <c r="D36" s="12" t="s">
        <v>15</v>
      </c>
      <c r="E36" s="12" t="b">
        <v>0</v>
      </c>
      <c r="F36" s="12" t="b">
        <v>0</v>
      </c>
      <c r="G36" s="12" t="b">
        <v>0</v>
      </c>
      <c r="H36" s="13" t="s">
        <v>16</v>
      </c>
      <c r="I36" s="14" t="s">
        <v>6</v>
      </c>
      <c r="J36" s="15">
        <f>=IF(I36="",FALSE,IF(D36="Yes",OR(I36="No",I36="NA"),IF(D36="Yes/NA",I36="No",IF(D36="No",OR(I36="Yes",I36="NA"),FALSE))))</f>
      </c>
      <c r="K36" s="4" t="s">
        <v>6</v>
      </c>
      <c r="L36" s="4" t="s">
        <v>6</v>
      </c>
      <c r="M36" s="4" t="s">
        <v>6</v>
      </c>
      <c r="N36" s="4" t="s">
        <v>6</v>
      </c>
      <c r="O36" s="4" t="s">
        <v>151</v>
      </c>
    </row>
    <row r="37" ht="45" customHeight="1" spans="1:15" x14ac:dyDescent="0.25">
      <c r="A37" s="12" t="s">
        <v>136</v>
      </c>
      <c r="B37" s="12" t="s">
        <v>152</v>
      </c>
      <c r="C37" s="9" t="s">
        <v>153</v>
      </c>
      <c r="D37" s="12" t="s">
        <v>89</v>
      </c>
      <c r="E37" s="12" t="b">
        <v>0</v>
      </c>
      <c r="F37" s="12" t="b">
        <v>0</v>
      </c>
      <c r="G37" s="12" t="b">
        <v>0</v>
      </c>
      <c r="H37" s="13" t="s">
        <v>16</v>
      </c>
      <c r="I37" s="14" t="s">
        <v>6</v>
      </c>
      <c r="J37" s="15">
        <f>=IF(I37="",FALSE,IF(D37="Yes",OR(I37="No",I37="NA"),IF(D37="Yes/NA",I37="No",IF(D37="No",OR(I37="Yes",I37="NA"),FALSE))))</f>
      </c>
      <c r="K37" s="4" t="s">
        <v>6</v>
      </c>
      <c r="L37" s="4" t="s">
        <v>6</v>
      </c>
      <c r="M37" s="4" t="s">
        <v>6</v>
      </c>
      <c r="N37" s="4" t="s">
        <v>6</v>
      </c>
      <c r="O37" s="4" t="s">
        <v>154</v>
      </c>
    </row>
    <row r="38" ht="45" customHeight="1" spans="1:15" x14ac:dyDescent="0.25">
      <c r="A38" s="12" t="s">
        <v>136</v>
      </c>
      <c r="B38" s="12" t="s">
        <v>155</v>
      </c>
      <c r="C38" s="9" t="s">
        <v>156</v>
      </c>
      <c r="D38" s="12" t="s">
        <v>89</v>
      </c>
      <c r="E38" s="12" t="b">
        <v>0</v>
      </c>
      <c r="F38" s="12" t="b">
        <v>0</v>
      </c>
      <c r="G38" s="12" t="b">
        <v>0</v>
      </c>
      <c r="H38" s="16" t="s">
        <v>4</v>
      </c>
      <c r="I38" s="14" t="s">
        <v>6</v>
      </c>
      <c r="J38" s="15">
        <f>=IF(I38="",FALSE,IF(D38="Yes",OR(I38="No",I38="NA"),IF(D38="Yes/NA",I38="No",IF(D38="No",OR(I38="Yes",I38="NA"),FALSE))))</f>
      </c>
      <c r="K38" s="4" t="s">
        <v>6</v>
      </c>
      <c r="L38" s="4" t="s">
        <v>6</v>
      </c>
      <c r="M38" s="4" t="s">
        <v>6</v>
      </c>
      <c r="N38" s="4" t="s">
        <v>6</v>
      </c>
      <c r="O38" s="4" t="s">
        <v>157</v>
      </c>
    </row>
    <row r="39" ht="45" customHeight="1" spans="1:15" x14ac:dyDescent="0.25">
      <c r="A39" s="12" t="s">
        <v>136</v>
      </c>
      <c r="B39" s="12" t="s">
        <v>158</v>
      </c>
      <c r="C39" s="9" t="s">
        <v>159</v>
      </c>
      <c r="D39" s="12" t="s">
        <v>15</v>
      </c>
      <c r="E39" s="12" t="b">
        <v>0</v>
      </c>
      <c r="F39" s="12" t="b">
        <v>0</v>
      </c>
      <c r="G39" s="12" t="b">
        <v>0</v>
      </c>
      <c r="H39" s="13" t="s">
        <v>16</v>
      </c>
      <c r="I39" s="14" t="s">
        <v>6</v>
      </c>
      <c r="J39" s="15">
        <f>=IF(I39="",FALSE,IF(D39="Yes",OR(I39="No",I39="NA"),IF(D39="Yes/NA",I39="No",IF(D39="No",OR(I39="Yes",I39="NA"),FALSE))))</f>
      </c>
      <c r="K39" s="4" t="s">
        <v>6</v>
      </c>
      <c r="L39" s="4" t="s">
        <v>6</v>
      </c>
      <c r="M39" s="4" t="s">
        <v>6</v>
      </c>
      <c r="N39" s="4" t="s">
        <v>6</v>
      </c>
      <c r="O39" s="4" t="s">
        <v>160</v>
      </c>
    </row>
    <row r="40" ht="45" customHeight="1" spans="1:15" x14ac:dyDescent="0.25">
      <c r="A40" s="12" t="s">
        <v>161</v>
      </c>
      <c r="B40" s="12" t="s">
        <v>162</v>
      </c>
      <c r="C40" s="9" t="s">
        <v>163</v>
      </c>
      <c r="D40" s="12" t="s">
        <v>15</v>
      </c>
      <c r="E40" s="12" t="b">
        <v>0</v>
      </c>
      <c r="F40" s="12" t="b">
        <v>0</v>
      </c>
      <c r="G40" s="12" t="b">
        <v>0</v>
      </c>
      <c r="H40" s="13" t="s">
        <v>16</v>
      </c>
      <c r="I40" s="14" t="s">
        <v>6</v>
      </c>
      <c r="J40" s="15">
        <f>=IF(I40="",FALSE,IF(D40="Yes",OR(I40="No",I40="NA"),IF(D40="Yes/NA",I40="No",IF(D40="No",OR(I40="Yes",I40="NA"),FALSE))))</f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164</v>
      </c>
    </row>
    <row r="41" ht="45" customHeight="1" spans="1:15" x14ac:dyDescent="0.25">
      <c r="A41" s="12" t="s">
        <v>161</v>
      </c>
      <c r="B41" s="12" t="s">
        <v>165</v>
      </c>
      <c r="C41" s="9" t="s">
        <v>166</v>
      </c>
      <c r="D41" s="12" t="s">
        <v>15</v>
      </c>
      <c r="E41" s="12" t="b">
        <v>0</v>
      </c>
      <c r="F41" s="12" t="b">
        <v>0</v>
      </c>
      <c r="G41" s="12" t="b">
        <v>0</v>
      </c>
      <c r="H41" s="13" t="s">
        <v>16</v>
      </c>
      <c r="I41" s="14" t="s">
        <v>6</v>
      </c>
      <c r="J41" s="15">
        <f>=IF(I41="",FALSE,IF(D41="Yes",OR(I41="No",I41="NA"),IF(D41="Yes/NA",I41="No",IF(D41="No",OR(I41="Yes",I41="NA"),FALSE))))</f>
      </c>
      <c r="K41" s="4" t="s">
        <v>6</v>
      </c>
      <c r="L41" s="4" t="s">
        <v>6</v>
      </c>
      <c r="M41" s="4" t="s">
        <v>6</v>
      </c>
      <c r="N41" s="4" t="s">
        <v>6</v>
      </c>
      <c r="O41" s="4" t="s">
        <v>167</v>
      </c>
    </row>
    <row r="42" ht="45" customHeight="1" spans="1:15" x14ac:dyDescent="0.25">
      <c r="A42" s="12" t="s">
        <v>168</v>
      </c>
      <c r="B42" s="12" t="s">
        <v>169</v>
      </c>
      <c r="C42" s="9" t="s">
        <v>170</v>
      </c>
      <c r="D42" s="12" t="s">
        <v>15</v>
      </c>
      <c r="E42" s="12" t="b">
        <v>0</v>
      </c>
      <c r="F42" s="12" t="b">
        <v>0</v>
      </c>
      <c r="G42" s="12" t="b">
        <v>0</v>
      </c>
      <c r="H42" s="13" t="s">
        <v>16</v>
      </c>
      <c r="I42" s="14" t="s">
        <v>6</v>
      </c>
      <c r="J42" s="15">
        <f>=IF(I42="",FALSE,IF(D42="Yes",OR(I42="No",I42="NA"),IF(D42="Yes/NA",I42="No",IF(D42="No",OR(I42="Yes",I42="NA"),FALSE))))</f>
      </c>
      <c r="K42" s="4" t="s">
        <v>6</v>
      </c>
      <c r="L42" s="4" t="s">
        <v>6</v>
      </c>
      <c r="M42" s="4" t="s">
        <v>6</v>
      </c>
      <c r="N42" s="4" t="s">
        <v>6</v>
      </c>
      <c r="O42" s="4" t="s">
        <v>171</v>
      </c>
    </row>
    <row r="43" ht="45" customHeight="1" spans="1:15" x14ac:dyDescent="0.25">
      <c r="A43" s="12" t="s">
        <v>168</v>
      </c>
      <c r="B43" s="12" t="s">
        <v>172</v>
      </c>
      <c r="C43" s="9" t="s">
        <v>173</v>
      </c>
      <c r="D43" s="12" t="s">
        <v>89</v>
      </c>
      <c r="E43" s="12" t="b">
        <v>0</v>
      </c>
      <c r="F43" s="12" t="b">
        <v>0</v>
      </c>
      <c r="G43" s="12" t="b">
        <v>0</v>
      </c>
      <c r="H43" s="16" t="s">
        <v>4</v>
      </c>
      <c r="I43" s="14" t="s">
        <v>6</v>
      </c>
      <c r="J43" s="15">
        <f>=IF(I43="",FALSE,IF(D43="Yes",OR(I43="No",I43="NA"),IF(D43="Yes/NA",I43="No",IF(D43="No",OR(I43="Yes",I43="NA"),FALSE))))</f>
      </c>
      <c r="K43" s="4" t="s">
        <v>6</v>
      </c>
      <c r="L43" s="4" t="s">
        <v>6</v>
      </c>
      <c r="M43" s="4" t="s">
        <v>6</v>
      </c>
      <c r="N43" s="4" t="s">
        <v>6</v>
      </c>
      <c r="O43" s="4" t="s">
        <v>174</v>
      </c>
    </row>
    <row r="44" ht="45" customHeight="1" spans="1:15" x14ac:dyDescent="0.25">
      <c r="A44" s="12" t="s">
        <v>168</v>
      </c>
      <c r="B44" s="12" t="s">
        <v>175</v>
      </c>
      <c r="C44" s="9" t="s">
        <v>176</v>
      </c>
      <c r="D44" s="12" t="s">
        <v>89</v>
      </c>
      <c r="E44" s="12" t="b">
        <v>0</v>
      </c>
      <c r="F44" s="12" t="b">
        <v>0</v>
      </c>
      <c r="G44" s="12" t="b">
        <v>0</v>
      </c>
      <c r="H44" s="13" t="s">
        <v>16</v>
      </c>
      <c r="I44" s="14" t="s">
        <v>6</v>
      </c>
      <c r="J44" s="15">
        <f>=IF(I44="",FALSE,IF(D44="Yes",OR(I44="No",I44="NA"),IF(D44="Yes/NA",I44="No",IF(D44="No",OR(I44="Yes",I44="NA"),FALSE))))</f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177</v>
      </c>
    </row>
    <row r="45" ht="45" customHeight="1" spans="1:15" x14ac:dyDescent="0.25">
      <c r="A45" s="12" t="s">
        <v>178</v>
      </c>
      <c r="B45" s="12" t="s">
        <v>179</v>
      </c>
      <c r="C45" s="9" t="s">
        <v>180</v>
      </c>
      <c r="D45" s="12" t="s">
        <v>15</v>
      </c>
      <c r="E45" s="12" t="b">
        <v>0</v>
      </c>
      <c r="F45" s="12" t="b">
        <v>0</v>
      </c>
      <c r="G45" s="12" t="b">
        <v>0</v>
      </c>
      <c r="H45" s="16" t="s">
        <v>4</v>
      </c>
      <c r="I45" s="14" t="s">
        <v>6</v>
      </c>
      <c r="J45" s="15">
        <f>=IF(I45="",FALSE,IF(D45="Yes",OR(I45="No",I45="NA"),IF(D45="Yes/NA",I45="No",IF(D45="No",OR(I45="Yes",I45="NA"),FALSE))))</f>
      </c>
      <c r="K45" s="4" t="s">
        <v>6</v>
      </c>
      <c r="L45" s="4" t="s">
        <v>6</v>
      </c>
      <c r="M45" s="4" t="s">
        <v>6</v>
      </c>
      <c r="N45" s="4" t="s">
        <v>6</v>
      </c>
      <c r="O45" s="4" t="s">
        <v>181</v>
      </c>
    </row>
    <row r="46" ht="45" customHeight="1" spans="1:15" x14ac:dyDescent="0.25">
      <c r="A46" s="12" t="s">
        <v>178</v>
      </c>
      <c r="B46" s="12" t="s">
        <v>182</v>
      </c>
      <c r="C46" s="9" t="s">
        <v>183</v>
      </c>
      <c r="D46" s="12" t="s">
        <v>15</v>
      </c>
      <c r="E46" s="12" t="b">
        <v>0</v>
      </c>
      <c r="F46" s="12" t="b">
        <v>0</v>
      </c>
      <c r="G46" s="12" t="b">
        <v>0</v>
      </c>
      <c r="H46" s="13" t="s">
        <v>16</v>
      </c>
      <c r="I46" s="14" t="s">
        <v>6</v>
      </c>
      <c r="J46" s="15">
        <f>=IF(I46="",FALSE,IF(D46="Yes",OR(I46="No",I46="NA"),IF(D46="Yes/NA",I46="No",IF(D46="No",OR(I46="Yes",I46="NA"),FALSE))))</f>
      </c>
      <c r="K46" s="4" t="s">
        <v>6</v>
      </c>
      <c r="L46" s="4" t="s">
        <v>6</v>
      </c>
      <c r="M46" s="4" t="s">
        <v>6</v>
      </c>
      <c r="N46" s="4" t="s">
        <v>6</v>
      </c>
      <c r="O46" s="4" t="s">
        <v>184</v>
      </c>
    </row>
    <row r="47" ht="45" customHeight="1" spans="1:15" x14ac:dyDescent="0.25">
      <c r="A47" s="12" t="s">
        <v>178</v>
      </c>
      <c r="B47" s="12" t="s">
        <v>185</v>
      </c>
      <c r="C47" s="9" t="s">
        <v>186</v>
      </c>
      <c r="D47" s="12" t="s">
        <v>15</v>
      </c>
      <c r="E47" s="12" t="b">
        <v>0</v>
      </c>
      <c r="F47" s="12" t="b">
        <v>0</v>
      </c>
      <c r="G47" s="12" t="b">
        <v>0</v>
      </c>
      <c r="H47" s="13" t="s">
        <v>16</v>
      </c>
      <c r="I47" s="14" t="s">
        <v>6</v>
      </c>
      <c r="J47" s="15">
        <f>=IF(I47="",FALSE,IF(D47="Yes",OR(I47="No",I47="NA"),IF(D47="Yes/NA",I47="No",IF(D47="No",OR(I47="Yes",I47="NA"),FALSE))))</f>
      </c>
      <c r="K47" s="4" t="s">
        <v>6</v>
      </c>
      <c r="L47" s="4" t="s">
        <v>6</v>
      </c>
      <c r="M47" s="4" t="s">
        <v>6</v>
      </c>
      <c r="N47" s="4" t="s">
        <v>6</v>
      </c>
      <c r="O47" s="4" t="s">
        <v>187</v>
      </c>
    </row>
    <row r="48" ht="45" customHeight="1" spans="1:15" x14ac:dyDescent="0.25">
      <c r="A48" s="12" t="s">
        <v>188</v>
      </c>
      <c r="B48" s="12" t="s">
        <v>189</v>
      </c>
      <c r="C48" s="9" t="s">
        <v>190</v>
      </c>
      <c r="D48" s="12" t="s">
        <v>15</v>
      </c>
      <c r="E48" s="12" t="b">
        <v>0</v>
      </c>
      <c r="F48" s="12" t="b">
        <v>0</v>
      </c>
      <c r="G48" s="12" t="b">
        <v>0</v>
      </c>
      <c r="H48" s="13" t="s">
        <v>16</v>
      </c>
      <c r="I48" s="14" t="s">
        <v>6</v>
      </c>
      <c r="J48" s="15">
        <f>=IF(I48="",FALSE,IF(D48="Yes",OR(I48="No",I48="NA"),IF(D48="Yes/NA",I48="No",IF(D48="No",OR(I48="Yes",I48="NA"),FALSE))))</f>
      </c>
      <c r="K48" s="4" t="s">
        <v>6</v>
      </c>
      <c r="L48" s="4" t="s">
        <v>6</v>
      </c>
      <c r="M48" s="4" t="s">
        <v>6</v>
      </c>
      <c r="N48" s="4" t="s">
        <v>6</v>
      </c>
      <c r="O48" s="4" t="s">
        <v>191</v>
      </c>
    </row>
    <row r="49" ht="45" customHeight="1" spans="1:15" x14ac:dyDescent="0.25">
      <c r="A49" s="12" t="s">
        <v>188</v>
      </c>
      <c r="B49" s="12" t="s">
        <v>192</v>
      </c>
      <c r="C49" s="9" t="s">
        <v>193</v>
      </c>
      <c r="D49" s="12" t="s">
        <v>15</v>
      </c>
      <c r="E49" s="12" t="b">
        <v>0</v>
      </c>
      <c r="F49" s="12" t="b">
        <v>0</v>
      </c>
      <c r="G49" s="12" t="b">
        <v>0</v>
      </c>
      <c r="H49" s="13" t="s">
        <v>16</v>
      </c>
      <c r="I49" s="14" t="s">
        <v>6</v>
      </c>
      <c r="J49" s="15">
        <f>=IF(I49="",FALSE,IF(D49="Yes",OR(I49="No",I49="NA"),IF(D49="Yes/NA",I49="No",IF(D49="No",OR(I49="Yes",I49="NA"),FALSE))))</f>
      </c>
      <c r="K49" s="4" t="s">
        <v>6</v>
      </c>
      <c r="L49" s="4" t="s">
        <v>6</v>
      </c>
      <c r="M49" s="4" t="s">
        <v>6</v>
      </c>
      <c r="N49" s="4" t="s">
        <v>6</v>
      </c>
      <c r="O49" s="4" t="s">
        <v>194</v>
      </c>
    </row>
    <row r="50" ht="45" customHeight="1" spans="1:15" x14ac:dyDescent="0.25">
      <c r="A50" s="12" t="s">
        <v>188</v>
      </c>
      <c r="B50" s="12" t="s">
        <v>195</v>
      </c>
      <c r="C50" s="9" t="s">
        <v>196</v>
      </c>
      <c r="D50" s="12" t="s">
        <v>15</v>
      </c>
      <c r="E50" s="12" t="b">
        <v>0</v>
      </c>
      <c r="F50" s="12" t="b">
        <v>0</v>
      </c>
      <c r="G50" s="12" t="b">
        <v>0</v>
      </c>
      <c r="H50" s="13" t="s">
        <v>16</v>
      </c>
      <c r="I50" s="14" t="s">
        <v>6</v>
      </c>
      <c r="J50" s="15">
        <f>=IF(I50="",FALSE,IF(D50="Yes",OR(I50="No",I50="NA"),IF(D50="Yes/NA",I50="No",IF(D50="No",OR(I50="Yes",I50="NA"),FALSE))))</f>
      </c>
      <c r="K50" s="4" t="s">
        <v>6</v>
      </c>
      <c r="L50" s="4" t="s">
        <v>6</v>
      </c>
      <c r="M50" s="4" t="s">
        <v>6</v>
      </c>
      <c r="N50" s="4" t="s">
        <v>6</v>
      </c>
      <c r="O50" s="4" t="s">
        <v>197</v>
      </c>
    </row>
    <row r="51" ht="45" customHeight="1" spans="1:15" x14ac:dyDescent="0.25">
      <c r="A51" s="12" t="s">
        <v>188</v>
      </c>
      <c r="B51" s="12" t="s">
        <v>198</v>
      </c>
      <c r="C51" s="9" t="s">
        <v>199</v>
      </c>
      <c r="D51" s="12" t="s">
        <v>15</v>
      </c>
      <c r="E51" s="12" t="b">
        <v>0</v>
      </c>
      <c r="F51" s="12" t="b">
        <v>0</v>
      </c>
      <c r="G51" s="12" t="b">
        <v>0</v>
      </c>
      <c r="H51" s="13" t="s">
        <v>16</v>
      </c>
      <c r="I51" s="14" t="s">
        <v>6</v>
      </c>
      <c r="J51" s="15">
        <f>=IF(I51="",FALSE,IF(D51="Yes",OR(I51="No",I51="NA"),IF(D51="Yes/NA",I51="No",IF(D51="No",OR(I51="Yes",I51="NA"),FALSE))))</f>
      </c>
      <c r="K51" s="4" t="s">
        <v>6</v>
      </c>
      <c r="L51" s="4" t="s">
        <v>6</v>
      </c>
      <c r="M51" s="4" t="s">
        <v>6</v>
      </c>
      <c r="N51" s="4" t="s">
        <v>6</v>
      </c>
      <c r="O51" s="4" t="s">
        <v>6</v>
      </c>
    </row>
    <row r="52" ht="45" customHeight="1" spans="1:15" x14ac:dyDescent="0.25">
      <c r="A52" s="12" t="s">
        <v>200</v>
      </c>
      <c r="B52" s="12" t="s">
        <v>201</v>
      </c>
      <c r="C52" s="9" t="s">
        <v>202</v>
      </c>
      <c r="D52" s="12" t="s">
        <v>15</v>
      </c>
      <c r="E52" s="12" t="b">
        <v>0</v>
      </c>
      <c r="F52" s="12" t="b">
        <v>0</v>
      </c>
      <c r="G52" s="12" t="b">
        <v>0</v>
      </c>
      <c r="H52" s="13" t="s">
        <v>16</v>
      </c>
      <c r="I52" s="14" t="s">
        <v>6</v>
      </c>
      <c r="J52" s="15">
        <f>=IF(I52="",FALSE,IF(D52="Yes",OR(I52="No",I52="NA"),IF(D52="Yes/NA",I52="No",IF(D52="No",OR(I52="Yes",I52="NA"),FALSE))))</f>
      </c>
      <c r="K52" s="4" t="s">
        <v>6</v>
      </c>
      <c r="L52" s="4" t="s">
        <v>6</v>
      </c>
      <c r="M52" s="4" t="s">
        <v>6</v>
      </c>
      <c r="N52" s="4" t="s">
        <v>6</v>
      </c>
      <c r="O52" s="4" t="s">
        <v>203</v>
      </c>
    </row>
    <row r="53" ht="45" customHeight="1" spans="1:15" x14ac:dyDescent="0.25">
      <c r="A53" s="12" t="s">
        <v>200</v>
      </c>
      <c r="B53" s="12" t="s">
        <v>204</v>
      </c>
      <c r="C53" s="9" t="s">
        <v>205</v>
      </c>
      <c r="D53" s="12" t="s">
        <v>89</v>
      </c>
      <c r="E53" s="12" t="b">
        <v>0</v>
      </c>
      <c r="F53" s="12" t="b">
        <v>0</v>
      </c>
      <c r="G53" s="12" t="b">
        <v>0</v>
      </c>
      <c r="H53" s="16" t="s">
        <v>4</v>
      </c>
      <c r="I53" s="14" t="s">
        <v>6</v>
      </c>
      <c r="J53" s="15">
        <f>=IF(I53="",FALSE,IF(D53="Yes",OR(I53="No",I53="NA"),IF(D53="Yes/NA",I53="No",IF(D53="No",OR(I53="Yes",I53="NA"),FALSE))))</f>
      </c>
      <c r="K53" s="4" t="s">
        <v>6</v>
      </c>
      <c r="L53" s="4" t="s">
        <v>6</v>
      </c>
      <c r="M53" s="4" t="s">
        <v>6</v>
      </c>
      <c r="N53" s="4" t="s">
        <v>6</v>
      </c>
      <c r="O53" s="4" t="s">
        <v>206</v>
      </c>
    </row>
    <row r="54" ht="45" customHeight="1" spans="1:15" x14ac:dyDescent="0.25">
      <c r="A54" s="12" t="s">
        <v>200</v>
      </c>
      <c r="B54" s="12" t="s">
        <v>207</v>
      </c>
      <c r="C54" s="9" t="s">
        <v>208</v>
      </c>
      <c r="D54" s="12" t="s">
        <v>15</v>
      </c>
      <c r="E54" s="12" t="b">
        <v>0</v>
      </c>
      <c r="F54" s="12" t="b">
        <v>0</v>
      </c>
      <c r="G54" s="12" t="b">
        <v>0</v>
      </c>
      <c r="H54" s="16" t="s">
        <v>4</v>
      </c>
      <c r="I54" s="14" t="s">
        <v>6</v>
      </c>
      <c r="J54" s="15">
        <f>=IF(I54="",FALSE,IF(D54="Yes",OR(I54="No",I54="NA"),IF(D54="Yes/NA",I54="No",IF(D54="No",OR(I54="Yes",I54="NA"),FALSE))))</f>
      </c>
      <c r="K54" s="4" t="s">
        <v>6</v>
      </c>
      <c r="L54" s="4" t="s">
        <v>6</v>
      </c>
      <c r="M54" s="4" t="s">
        <v>6</v>
      </c>
      <c r="N54" s="4" t="s">
        <v>6</v>
      </c>
      <c r="O54" s="4" t="s">
        <v>209</v>
      </c>
    </row>
    <row r="55" ht="45" customHeight="1" spans="1:15" x14ac:dyDescent="0.25">
      <c r="A55" s="12" t="s">
        <v>200</v>
      </c>
      <c r="B55" s="12" t="s">
        <v>210</v>
      </c>
      <c r="C55" s="9" t="s">
        <v>211</v>
      </c>
      <c r="D55" s="12" t="s">
        <v>89</v>
      </c>
      <c r="E55" s="12" t="b">
        <v>0</v>
      </c>
      <c r="F55" s="12" t="b">
        <v>0</v>
      </c>
      <c r="G55" s="12" t="b">
        <v>0</v>
      </c>
      <c r="H55" s="16" t="s">
        <v>4</v>
      </c>
      <c r="I55" s="14" t="s">
        <v>6</v>
      </c>
      <c r="J55" s="15">
        <f>=IF(I55="",FALSE,IF(D55="Yes",OR(I55="No",I55="NA"),IF(D55="Yes/NA",I55="No",IF(D55="No",OR(I55="Yes",I55="NA"),FALSE))))</f>
      </c>
      <c r="K55" s="4" t="s">
        <v>6</v>
      </c>
      <c r="L55" s="4" t="s">
        <v>6</v>
      </c>
      <c r="M55" s="4" t="s">
        <v>6</v>
      </c>
      <c r="N55" s="4" t="s">
        <v>6</v>
      </c>
      <c r="O55" s="4" t="s">
        <v>212</v>
      </c>
    </row>
    <row r="56" ht="45" customHeight="1" spans="1:15" x14ac:dyDescent="0.25">
      <c r="A56" s="12" t="s">
        <v>200</v>
      </c>
      <c r="B56" s="12" t="s">
        <v>213</v>
      </c>
      <c r="C56" s="9" t="s">
        <v>214</v>
      </c>
      <c r="D56" s="12" t="s">
        <v>89</v>
      </c>
      <c r="E56" s="12" t="b">
        <v>0</v>
      </c>
      <c r="F56" s="12" t="b">
        <v>0</v>
      </c>
      <c r="G56" s="12" t="b">
        <v>0</v>
      </c>
      <c r="H56" s="16" t="s">
        <v>4</v>
      </c>
      <c r="I56" s="14" t="s">
        <v>6</v>
      </c>
      <c r="J56" s="15">
        <f>=IF(I56="",FALSE,IF(D56="Yes",OR(I56="No",I56="NA"),IF(D56="Yes/NA",I56="No",IF(D56="No",OR(I56="Yes",I56="NA"),FALSE))))</f>
      </c>
      <c r="K56" s="4" t="s">
        <v>6</v>
      </c>
      <c r="L56" s="4" t="s">
        <v>6</v>
      </c>
      <c r="M56" s="4" t="s">
        <v>6</v>
      </c>
      <c r="N56" s="4" t="s">
        <v>6</v>
      </c>
      <c r="O56" s="4" t="s">
        <v>215</v>
      </c>
    </row>
    <row r="57" ht="45" customHeight="1" spans="1:15" x14ac:dyDescent="0.25">
      <c r="A57" s="12" t="s">
        <v>200</v>
      </c>
      <c r="B57" s="12" t="s">
        <v>216</v>
      </c>
      <c r="C57" s="9" t="s">
        <v>217</v>
      </c>
      <c r="D57" s="12" t="s">
        <v>89</v>
      </c>
      <c r="E57" s="12" t="b">
        <v>0</v>
      </c>
      <c r="F57" s="12" t="b">
        <v>0</v>
      </c>
      <c r="G57" s="12" t="b">
        <v>0</v>
      </c>
      <c r="H57" s="16" t="s">
        <v>4</v>
      </c>
      <c r="I57" s="14" t="s">
        <v>6</v>
      </c>
      <c r="J57" s="15">
        <f>=IF(I57="",FALSE,IF(D57="Yes",OR(I57="No",I57="NA"),IF(D57="Yes/NA",I57="No",IF(D57="No",OR(I57="Yes",I57="NA"),FALSE))))</f>
      </c>
      <c r="K57" s="4" t="s">
        <v>6</v>
      </c>
      <c r="L57" s="4" t="s">
        <v>6</v>
      </c>
      <c r="M57" s="4" t="s">
        <v>6</v>
      </c>
      <c r="N57" s="4" t="s">
        <v>6</v>
      </c>
      <c r="O57" s="4" t="s">
        <v>218</v>
      </c>
    </row>
    <row r="58" ht="45" customHeight="1" spans="1:15" x14ac:dyDescent="0.25">
      <c r="A58" s="12" t="s">
        <v>200</v>
      </c>
      <c r="B58" s="12" t="s">
        <v>219</v>
      </c>
      <c r="C58" s="9" t="s">
        <v>220</v>
      </c>
      <c r="D58" s="12" t="s">
        <v>89</v>
      </c>
      <c r="E58" s="12" t="b">
        <v>0</v>
      </c>
      <c r="F58" s="12" t="b">
        <v>0</v>
      </c>
      <c r="G58" s="12" t="b">
        <v>0</v>
      </c>
      <c r="H58" s="16" t="s">
        <v>4</v>
      </c>
      <c r="I58" s="14" t="s">
        <v>6</v>
      </c>
      <c r="J58" s="15">
        <f>=IF(I58="",FALSE,IF(D58="Yes",OR(I58="No",I58="NA"),IF(D58="Yes/NA",I58="No",IF(D58="No",OR(I58="Yes",I58="NA"),FALSE))))</f>
      </c>
      <c r="K58" s="4" t="s">
        <v>6</v>
      </c>
      <c r="L58" s="4" t="s">
        <v>6</v>
      </c>
      <c r="M58" s="4" t="s">
        <v>6</v>
      </c>
      <c r="N58" s="4" t="s">
        <v>6</v>
      </c>
      <c r="O58" s="4" t="s">
        <v>221</v>
      </c>
    </row>
    <row r="59" ht="45" customHeight="1" spans="1:15" x14ac:dyDescent="0.25">
      <c r="A59" s="12" t="s">
        <v>200</v>
      </c>
      <c r="B59" s="12" t="s">
        <v>222</v>
      </c>
      <c r="C59" s="9" t="s">
        <v>223</v>
      </c>
      <c r="D59" s="12" t="s">
        <v>15</v>
      </c>
      <c r="E59" s="12" t="b">
        <v>0</v>
      </c>
      <c r="F59" s="12" t="b">
        <v>0</v>
      </c>
      <c r="G59" s="12" t="b">
        <v>0</v>
      </c>
      <c r="H59" s="13" t="s">
        <v>16</v>
      </c>
      <c r="I59" s="14" t="s">
        <v>6</v>
      </c>
      <c r="J59" s="15">
        <f>=IF(I59="",FALSE,IF(D59="Yes",OR(I59="No",I59="NA"),IF(D59="Yes/NA",I59="No",IF(D59="No",OR(I59="Yes",I59="NA"),FALSE))))</f>
      </c>
      <c r="K59" s="4" t="s">
        <v>6</v>
      </c>
      <c r="L59" s="4" t="s">
        <v>6</v>
      </c>
      <c r="M59" s="4" t="s">
        <v>6</v>
      </c>
      <c r="N59" s="4" t="s">
        <v>6</v>
      </c>
      <c r="O59" s="4" t="s">
        <v>224</v>
      </c>
    </row>
    <row r="60" ht="45" customHeight="1" spans="1:15" x14ac:dyDescent="0.25">
      <c r="A60" s="12" t="s">
        <v>200</v>
      </c>
      <c r="B60" s="12" t="s">
        <v>225</v>
      </c>
      <c r="C60" s="9" t="s">
        <v>226</v>
      </c>
      <c r="D60" s="12" t="s">
        <v>89</v>
      </c>
      <c r="E60" s="12" t="b">
        <v>0</v>
      </c>
      <c r="F60" s="12" t="b">
        <v>0</v>
      </c>
      <c r="G60" s="12" t="b">
        <v>0</v>
      </c>
      <c r="H60" s="16" t="s">
        <v>4</v>
      </c>
      <c r="I60" s="14" t="s">
        <v>6</v>
      </c>
      <c r="J60" s="15">
        <f>=IF(I60="",FALSE,IF(D60="Yes",OR(I60="No",I60="NA"),IF(D60="Yes/NA",I60="No",IF(D60="No",OR(I60="Yes",I60="NA"),FALSE))))</f>
      </c>
      <c r="K60" s="4" t="s">
        <v>6</v>
      </c>
      <c r="L60" s="4" t="s">
        <v>6</v>
      </c>
      <c r="M60" s="4" t="s">
        <v>6</v>
      </c>
      <c r="N60" s="4" t="s">
        <v>6</v>
      </c>
      <c r="O60" s="4" t="s">
        <v>215</v>
      </c>
    </row>
    <row r="61" ht="45" customHeight="1" spans="1:15" x14ac:dyDescent="0.25">
      <c r="A61" s="12" t="s">
        <v>200</v>
      </c>
      <c r="B61" s="12" t="s">
        <v>227</v>
      </c>
      <c r="C61" s="9" t="s">
        <v>228</v>
      </c>
      <c r="D61" s="12" t="s">
        <v>89</v>
      </c>
      <c r="E61" s="12" t="b">
        <v>0</v>
      </c>
      <c r="F61" s="12" t="b">
        <v>0</v>
      </c>
      <c r="G61" s="12" t="b">
        <v>0</v>
      </c>
      <c r="H61" s="16" t="s">
        <v>4</v>
      </c>
      <c r="I61" s="14" t="s">
        <v>6</v>
      </c>
      <c r="J61" s="15">
        <f>=IF(I61="",FALSE,IF(D61="Yes",OR(I61="No",I61="NA"),IF(D61="Yes/NA",I61="No",IF(D61="No",OR(I61="Yes",I61="NA"),FALSE))))</f>
      </c>
      <c r="K61" s="4" t="s">
        <v>6</v>
      </c>
      <c r="L61" s="4" t="s">
        <v>6</v>
      </c>
      <c r="M61" s="4" t="s">
        <v>6</v>
      </c>
      <c r="N61" s="4" t="s">
        <v>6</v>
      </c>
      <c r="O61" s="4" t="s">
        <v>229</v>
      </c>
    </row>
    <row r="62" ht="45" customHeight="1" spans="1:15" x14ac:dyDescent="0.25">
      <c r="A62" s="12" t="s">
        <v>200</v>
      </c>
      <c r="B62" s="12" t="s">
        <v>230</v>
      </c>
      <c r="C62" s="9" t="s">
        <v>231</v>
      </c>
      <c r="D62" s="12" t="s">
        <v>15</v>
      </c>
      <c r="E62" s="12" t="b">
        <v>0</v>
      </c>
      <c r="F62" s="12" t="b">
        <v>0</v>
      </c>
      <c r="G62" s="12" t="b">
        <v>0</v>
      </c>
      <c r="H62" s="13" t="s">
        <v>16</v>
      </c>
      <c r="I62" s="14" t="s">
        <v>6</v>
      </c>
      <c r="J62" s="15">
        <f>=IF(I62="",FALSE,IF(D62="Yes",OR(I62="No",I62="NA"),IF(D62="Yes/NA",I62="No",IF(D62="No",OR(I62="Yes",I62="NA"),FALSE))))</f>
      </c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</row>
    <row r="63" ht="45" customHeight="1" spans="1:15" x14ac:dyDescent="0.25">
      <c r="A63" s="12" t="s">
        <v>232</v>
      </c>
      <c r="B63" s="12" t="s">
        <v>233</v>
      </c>
      <c r="C63" s="9" t="s">
        <v>234</v>
      </c>
      <c r="D63" s="12" t="s">
        <v>15</v>
      </c>
      <c r="E63" s="12" t="b">
        <v>0</v>
      </c>
      <c r="F63" s="12" t="b">
        <v>0</v>
      </c>
      <c r="G63" s="12" t="b">
        <v>0</v>
      </c>
      <c r="H63" s="16" t="s">
        <v>4</v>
      </c>
      <c r="I63" s="14" t="s">
        <v>6</v>
      </c>
      <c r="J63" s="15">
        <f>=IF(I63="",FALSE,IF(D63="Yes",OR(I63="No",I63="NA"),IF(D63="Yes/NA",I63="No",IF(D63="No",OR(I63="Yes",I63="NA"),FALSE))))</f>
      </c>
      <c r="K63" s="4" t="s">
        <v>6</v>
      </c>
      <c r="L63" s="4" t="s">
        <v>6</v>
      </c>
      <c r="M63" s="4" t="s">
        <v>6</v>
      </c>
      <c r="N63" s="4" t="s">
        <v>6</v>
      </c>
      <c r="O63" s="4" t="s">
        <v>235</v>
      </c>
    </row>
    <row r="64" ht="45" customHeight="1" spans="1:15" x14ac:dyDescent="0.25">
      <c r="A64" s="12" t="s">
        <v>232</v>
      </c>
      <c r="B64" s="12" t="s">
        <v>236</v>
      </c>
      <c r="C64" s="9" t="s">
        <v>237</v>
      </c>
      <c r="D64" s="12" t="s">
        <v>15</v>
      </c>
      <c r="E64" s="12" t="b">
        <v>0</v>
      </c>
      <c r="F64" s="12" t="b">
        <v>0</v>
      </c>
      <c r="G64" s="12" t="b">
        <v>0</v>
      </c>
      <c r="H64" s="13" t="s">
        <v>16</v>
      </c>
      <c r="I64" s="14" t="s">
        <v>6</v>
      </c>
      <c r="J64" s="15">
        <f>=IF(I64="",FALSE,IF(D64="Yes",OR(I64="No",I64="NA"),IF(D64="Yes/NA",I64="No",IF(D64="No",OR(I64="Yes",I64="NA"),FALSE))))</f>
      </c>
      <c r="K64" s="4" t="s">
        <v>6</v>
      </c>
      <c r="L64" s="4" t="s">
        <v>6</v>
      </c>
      <c r="M64" s="4" t="s">
        <v>6</v>
      </c>
      <c r="N64" s="4" t="s">
        <v>6</v>
      </c>
      <c r="O64" s="4" t="s">
        <v>238</v>
      </c>
    </row>
    <row r="65" ht="45" customHeight="1" spans="1:15" x14ac:dyDescent="0.25">
      <c r="A65" s="12" t="s">
        <v>232</v>
      </c>
      <c r="B65" s="12" t="s">
        <v>239</v>
      </c>
      <c r="C65" s="9" t="s">
        <v>240</v>
      </c>
      <c r="D65" s="12" t="s">
        <v>15</v>
      </c>
      <c r="E65" s="12" t="b">
        <v>0</v>
      </c>
      <c r="F65" s="12" t="b">
        <v>0</v>
      </c>
      <c r="G65" s="12" t="b">
        <v>0</v>
      </c>
      <c r="H65" s="13" t="s">
        <v>16</v>
      </c>
      <c r="I65" s="14" t="s">
        <v>6</v>
      </c>
      <c r="J65" s="15">
        <f>=IF(I65="",FALSE,IF(D65="Yes",OR(I65="No",I65="NA"),IF(D65="Yes/NA",I65="No",IF(D65="No",OR(I65="Yes",I65="NA"),FALSE))))</f>
      </c>
      <c r="K65" s="4" t="s">
        <v>6</v>
      </c>
      <c r="L65" s="4" t="s">
        <v>6</v>
      </c>
      <c r="M65" s="4" t="s">
        <v>6</v>
      </c>
      <c r="N65" s="4" t="s">
        <v>6</v>
      </c>
      <c r="O65" s="4" t="s">
        <v>241</v>
      </c>
    </row>
    <row r="66" ht="45" customHeight="1" spans="1:15" x14ac:dyDescent="0.25">
      <c r="A66" s="12" t="s">
        <v>232</v>
      </c>
      <c r="B66" s="12" t="s">
        <v>242</v>
      </c>
      <c r="C66" s="9" t="s">
        <v>243</v>
      </c>
      <c r="D66" s="12" t="s">
        <v>15</v>
      </c>
      <c r="E66" s="12" t="b">
        <v>0</v>
      </c>
      <c r="F66" s="12" t="b">
        <v>0</v>
      </c>
      <c r="G66" s="12" t="b">
        <v>0</v>
      </c>
      <c r="H66" s="13" t="s">
        <v>16</v>
      </c>
      <c r="I66" s="14" t="s">
        <v>6</v>
      </c>
      <c r="J66" s="15">
        <f>=IF(I66="",FALSE,IF(D66="Yes",OR(I66="No",I66="NA"),IF(D66="Yes/NA",I66="No",IF(D66="No",OR(I66="Yes",I66="NA"),FALSE))))</f>
      </c>
      <c r="K66" s="4" t="s">
        <v>6</v>
      </c>
      <c r="L66" s="4" t="s">
        <v>6</v>
      </c>
      <c r="M66" s="4" t="s">
        <v>6</v>
      </c>
      <c r="N66" s="4" t="s">
        <v>6</v>
      </c>
      <c r="O66" s="4" t="s">
        <v>6</v>
      </c>
    </row>
    <row r="67" ht="45" customHeight="1" spans="1:15" x14ac:dyDescent="0.25">
      <c r="A67" s="12" t="s">
        <v>232</v>
      </c>
      <c r="B67" s="12" t="s">
        <v>244</v>
      </c>
      <c r="C67" s="9" t="s">
        <v>245</v>
      </c>
      <c r="D67" s="12" t="s">
        <v>15</v>
      </c>
      <c r="E67" s="12" t="b">
        <v>0</v>
      </c>
      <c r="F67" s="12" t="b">
        <v>0</v>
      </c>
      <c r="G67" s="12" t="b">
        <v>0</v>
      </c>
      <c r="H67" s="13" t="s">
        <v>16</v>
      </c>
      <c r="I67" s="14" t="s">
        <v>6</v>
      </c>
      <c r="J67" s="15">
        <f>=IF(I67="",FALSE,IF(D67="Yes",OR(I67="No",I67="NA"),IF(D67="Yes/NA",I67="No",IF(D67="No",OR(I67="Yes",I67="NA"),FALSE))))</f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246</v>
      </c>
    </row>
    <row r="68" ht="45" customHeight="1" spans="1:15" x14ac:dyDescent="0.25">
      <c r="A68" s="12" t="s">
        <v>232</v>
      </c>
      <c r="B68" s="12" t="s">
        <v>247</v>
      </c>
      <c r="C68" s="9" t="s">
        <v>248</v>
      </c>
      <c r="D68" s="12" t="s">
        <v>15</v>
      </c>
      <c r="E68" s="12" t="b">
        <v>0</v>
      </c>
      <c r="F68" s="12" t="b">
        <v>0</v>
      </c>
      <c r="G68" s="12" t="b">
        <v>0</v>
      </c>
      <c r="H68" s="16" t="s">
        <v>4</v>
      </c>
      <c r="I68" s="14" t="s">
        <v>6</v>
      </c>
      <c r="J68" s="15">
        <f>=IF(I68="",FALSE,IF(D68="Yes",OR(I68="No",I68="NA"),IF(D68="Yes/NA",I68="No",IF(D68="No",OR(I68="Yes",I68="NA"),FALSE))))</f>
      </c>
      <c r="K68" s="4" t="s">
        <v>6</v>
      </c>
      <c r="L68" s="4" t="s">
        <v>6</v>
      </c>
      <c r="M68" s="4" t="s">
        <v>6</v>
      </c>
      <c r="N68" s="4" t="s">
        <v>6</v>
      </c>
      <c r="O68" s="4" t="s">
        <v>249</v>
      </c>
    </row>
    <row r="69" ht="45" customHeight="1" spans="1:15" x14ac:dyDescent="0.25">
      <c r="A69" s="12" t="s">
        <v>232</v>
      </c>
      <c r="B69" s="12" t="s">
        <v>250</v>
      </c>
      <c r="C69" s="9" t="s">
        <v>251</v>
      </c>
      <c r="D69" s="12" t="s">
        <v>15</v>
      </c>
      <c r="E69" s="12" t="b">
        <v>0</v>
      </c>
      <c r="F69" s="12" t="b">
        <v>0</v>
      </c>
      <c r="G69" s="12" t="b">
        <v>0</v>
      </c>
      <c r="H69" s="13" t="s">
        <v>16</v>
      </c>
      <c r="I69" s="14" t="s">
        <v>6</v>
      </c>
      <c r="J69" s="15">
        <f>=IF(I69="",FALSE,IF(D69="Yes",OR(I69="No",I69="NA"),IF(D69="Yes/NA",I69="No",IF(D69="No",OR(I69="Yes",I69="NA"),FALSE))))</f>
      </c>
      <c r="K69" s="4" t="s">
        <v>6</v>
      </c>
      <c r="L69" s="4" t="s">
        <v>6</v>
      </c>
      <c r="M69" s="4" t="s">
        <v>6</v>
      </c>
      <c r="N69" s="4" t="s">
        <v>6</v>
      </c>
      <c r="O69" s="4" t="s">
        <v>252</v>
      </c>
    </row>
    <row r="70" ht="45" customHeight="1" spans="1:15" x14ac:dyDescent="0.25">
      <c r="A70" s="12" t="s">
        <v>232</v>
      </c>
      <c r="B70" s="12" t="s">
        <v>253</v>
      </c>
      <c r="C70" s="9" t="s">
        <v>254</v>
      </c>
      <c r="D70" s="12" t="s">
        <v>15</v>
      </c>
      <c r="E70" s="12" t="b">
        <v>0</v>
      </c>
      <c r="F70" s="12" t="b">
        <v>0</v>
      </c>
      <c r="G70" s="12" t="b">
        <v>0</v>
      </c>
      <c r="H70" s="16" t="s">
        <v>4</v>
      </c>
      <c r="I70" s="14" t="s">
        <v>6</v>
      </c>
      <c r="J70" s="15">
        <f>=IF(I70="",FALSE,IF(D70="Yes",OR(I70="No",I70="NA"),IF(D70="Yes/NA",I70="No",IF(D70="No",OR(I70="Yes",I70="NA"),FALSE))))</f>
      </c>
      <c r="K70" s="4" t="s">
        <v>6</v>
      </c>
      <c r="L70" s="4" t="s">
        <v>6</v>
      </c>
      <c r="M70" s="4" t="s">
        <v>6</v>
      </c>
      <c r="N70" s="4" t="s">
        <v>6</v>
      </c>
      <c r="O70" s="4" t="s">
        <v>255</v>
      </c>
    </row>
    <row r="71" ht="45" customHeight="1" spans="1:15" x14ac:dyDescent="0.25">
      <c r="A71" s="12" t="s">
        <v>232</v>
      </c>
      <c r="B71" s="12" t="s">
        <v>256</v>
      </c>
      <c r="C71" s="9" t="s">
        <v>257</v>
      </c>
      <c r="D71" s="12" t="s">
        <v>15</v>
      </c>
      <c r="E71" s="12" t="b">
        <v>0</v>
      </c>
      <c r="F71" s="12" t="b">
        <v>0</v>
      </c>
      <c r="G71" s="12" t="b">
        <v>0</v>
      </c>
      <c r="H71" s="16" t="s">
        <v>4</v>
      </c>
      <c r="I71" s="14" t="s">
        <v>6</v>
      </c>
      <c r="J71" s="15">
        <f>=IF(I71="",FALSE,IF(D71="Yes",OR(I71="No",I71="NA"),IF(D71="Yes/NA",I71="No",IF(D71="No",OR(I71="Yes",I71="NA"),FALSE))))</f>
      </c>
      <c r="K71" s="4" t="s">
        <v>6</v>
      </c>
      <c r="L71" s="4" t="s">
        <v>6</v>
      </c>
      <c r="M71" s="4" t="s">
        <v>6</v>
      </c>
      <c r="N71" s="4" t="s">
        <v>6</v>
      </c>
      <c r="O71" s="4" t="s">
        <v>6</v>
      </c>
    </row>
    <row r="72" ht="45" customHeight="1" spans="1:15" x14ac:dyDescent="0.25">
      <c r="A72" s="12" t="s">
        <v>232</v>
      </c>
      <c r="B72" s="12" t="s">
        <v>258</v>
      </c>
      <c r="C72" s="9" t="s">
        <v>259</v>
      </c>
      <c r="D72" s="12" t="s">
        <v>15</v>
      </c>
      <c r="E72" s="12" t="b">
        <v>0</v>
      </c>
      <c r="F72" s="12" t="b">
        <v>0</v>
      </c>
      <c r="G72" s="12" t="b">
        <v>0</v>
      </c>
      <c r="H72" s="16" t="s">
        <v>4</v>
      </c>
      <c r="I72" s="14" t="s">
        <v>6</v>
      </c>
      <c r="J72" s="15">
        <f>=IF(I72="",FALSE,IF(D72="Yes",OR(I72="No",I72="NA"),IF(D72="Yes/NA",I72="No",IF(D72="No",OR(I72="Yes",I72="NA"),FALSE))))</f>
      </c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</row>
    <row r="73" ht="45" customHeight="1" spans="1:15" x14ac:dyDescent="0.25">
      <c r="A73" s="12" t="s">
        <v>232</v>
      </c>
      <c r="B73" s="12" t="s">
        <v>260</v>
      </c>
      <c r="C73" s="9" t="s">
        <v>261</v>
      </c>
      <c r="D73" s="12" t="s">
        <v>15</v>
      </c>
      <c r="E73" s="12" t="b">
        <v>0</v>
      </c>
      <c r="F73" s="12" t="b">
        <v>0</v>
      </c>
      <c r="G73" s="12" t="b">
        <v>0</v>
      </c>
      <c r="H73" s="13" t="s">
        <v>16</v>
      </c>
      <c r="I73" s="14" t="s">
        <v>6</v>
      </c>
      <c r="J73" s="15">
        <f>=IF(I73="",FALSE,IF(D73="Yes",OR(I73="No",I73="NA"),IF(D73="Yes/NA",I73="No",IF(D73="No",OR(I73="Yes",I73="NA"),FALSE))))</f>
      </c>
      <c r="K73" s="4" t="s">
        <v>6</v>
      </c>
      <c r="L73" s="4" t="s">
        <v>6</v>
      </c>
      <c r="M73" s="4" t="s">
        <v>6</v>
      </c>
      <c r="N73" s="4" t="s">
        <v>6</v>
      </c>
      <c r="O73" s="4" t="s">
        <v>262</v>
      </c>
    </row>
    <row r="74" ht="45" customHeight="1" spans="1:15" x14ac:dyDescent="0.25">
      <c r="A74" s="12" t="s">
        <v>232</v>
      </c>
      <c r="B74" s="12" t="s">
        <v>263</v>
      </c>
      <c r="C74" s="9" t="s">
        <v>264</v>
      </c>
      <c r="D74" s="12" t="s">
        <v>15</v>
      </c>
      <c r="E74" s="12" t="b">
        <v>0</v>
      </c>
      <c r="F74" s="12" t="b">
        <v>0</v>
      </c>
      <c r="G74" s="12" t="b">
        <v>0</v>
      </c>
      <c r="H74" s="13" t="s">
        <v>16</v>
      </c>
      <c r="I74" s="14" t="s">
        <v>6</v>
      </c>
      <c r="J74" s="15">
        <f>=IF(I74="",FALSE,IF(D74="Yes",OR(I74="No",I74="NA"),IF(D74="Yes/NA",I74="No",IF(D74="No",OR(I74="Yes",I74="NA"),FALSE))))</f>
      </c>
      <c r="K74" s="4" t="s">
        <v>6</v>
      </c>
      <c r="L74" s="4" t="s">
        <v>6</v>
      </c>
      <c r="M74" s="4" t="s">
        <v>6</v>
      </c>
      <c r="N74" s="4" t="s">
        <v>6</v>
      </c>
      <c r="O74" s="4" t="s">
        <v>265</v>
      </c>
    </row>
    <row r="75" ht="45" customHeight="1" spans="1:15" x14ac:dyDescent="0.25">
      <c r="A75" s="12" t="s">
        <v>232</v>
      </c>
      <c r="B75" s="12" t="s">
        <v>266</v>
      </c>
      <c r="C75" s="9" t="s">
        <v>267</v>
      </c>
      <c r="D75" s="12" t="s">
        <v>15</v>
      </c>
      <c r="E75" s="12" t="b">
        <v>0</v>
      </c>
      <c r="F75" s="12" t="b">
        <v>0</v>
      </c>
      <c r="G75" s="12" t="b">
        <v>0</v>
      </c>
      <c r="H75" s="13" t="s">
        <v>16</v>
      </c>
      <c r="I75" s="14" t="s">
        <v>6</v>
      </c>
      <c r="J75" s="15">
        <f>=IF(I75="",FALSE,IF(D75="Yes",OR(I75="No",I75="NA"),IF(D75="Yes/NA",I75="No",IF(D75="No",OR(I75="Yes",I75="NA"),FALSE))))</f>
      </c>
      <c r="K75" s="4" t="s">
        <v>6</v>
      </c>
      <c r="L75" s="4" t="s">
        <v>6</v>
      </c>
      <c r="M75" s="4" t="s">
        <v>6</v>
      </c>
      <c r="N75" s="4" t="s">
        <v>6</v>
      </c>
      <c r="O75" s="4" t="s">
        <v>6</v>
      </c>
    </row>
  </sheetData>
  <mergeCells count="1">
    <mergeCell ref="A1:O1"/>
  </mergeCells>
  <conditionalFormatting sqref="I3:I75">
    <cfRule type="expression" dxfId="0" priority="1">
      <formula>AND(I3&lt;&gt;"",J3=FALSE)</formula>
    </cfRule>
  </conditionalFormatting>
  <conditionalFormatting sqref="I3:I75">
    <cfRule type="expression" dxfId="1" priority="2">
      <formula>J3=TRUE</formula>
    </cfRule>
  </conditionalFormatting>
  <conditionalFormatting sqref="I3:I75">
    <cfRule type="expression" dxfId="2" priority="3">
      <formula>I3=""</formula>
    </cfRule>
  </conditionalFormatting>
  <dataValidations count="2">
    <dataValidation type="list" allowBlank="1" showErrorMessage="1" error="Please select Yes, No or NA." sqref="I10:I75">
      <formula1>"Yes,No,NA"</formula1>
    </dataValidation>
    <dataValidation type="list" allowBlank="1" showErrorMessage="1" error="Please select Yes, No or NA." sqref="I3:I75">
      <formula1>"Yes,No,NA"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2" max="2" width="14" customWidth="1"/>
    <col min="3" max="3" width="12" customWidth="1"/>
    <col min="4" max="4" width="22" customWidth="1"/>
    <col min="5" max="5" width="16" customWidth="1"/>
    <col min="6" max="6" width="12" customWidth="1"/>
    <col min="7" max="8" width="32" customWidth="1"/>
    <col min="9" max="9" width="14" customWidth="1"/>
  </cols>
  <sheetData>
    <row r="1" ht="24" customHeight="1" spans="1:9" x14ac:dyDescent="0.25">
      <c r="A1" s="17" t="s">
        <v>268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8" t="s">
        <v>269</v>
      </c>
      <c r="B2" s="8" t="s">
        <v>270</v>
      </c>
      <c r="C2" s="8" t="s">
        <v>271</v>
      </c>
      <c r="D2" s="8" t="s">
        <v>272</v>
      </c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</row>
    <row r="3" ht="36" customHeight="1" spans="1:9" x14ac:dyDescent="0.25">
      <c r="A3" s="4" t="s">
        <v>6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</row>
    <row r="4" ht="36" customHeight="1" spans="1:9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</row>
    <row r="5" ht="36" customHeight="1" spans="1:9" x14ac:dyDescent="0.25">
      <c r="A5" s="4" t="s">
        <v>6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</row>
    <row r="6" ht="36" customHeight="1" spans="1:9" x14ac:dyDescent="0.25">
      <c r="A6" s="4" t="s">
        <v>6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</row>
    <row r="7" ht="36" customHeight="1" spans="1:9" x14ac:dyDescent="0.25">
      <c r="A7" s="4" t="s">
        <v>6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</row>
    <row r="8" ht="36" customHeight="1" spans="1:9" x14ac:dyDescent="0.25">
      <c r="A8" s="4" t="s">
        <v>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</row>
    <row r="9" ht="36" customHeight="1" spans="1:9" x14ac:dyDescent="0.25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ht="36" customHeight="1" spans="1:9" x14ac:dyDescent="0.25">
      <c r="A10" s="4" t="s">
        <v>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ht="36" customHeight="1" spans="1:9" x14ac:dyDescent="0.25">
      <c r="A11" s="4" t="s">
        <v>6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ht="36" customHeight="1" spans="1:9" x14ac:dyDescent="0.25">
      <c r="A12" s="4" t="s">
        <v>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ht="36" customHeight="1" spans="1:9" x14ac:dyDescent="0.25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ht="36" customHeight="1" spans="1:9" x14ac:dyDescent="0.25">
      <c r="A14" s="4" t="s">
        <v>6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ht="36" customHeight="1" spans="1:9" x14ac:dyDescent="0.25">
      <c r="A15" s="4" t="s">
        <v>6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</row>
    <row r="16" ht="36" customHeight="1" spans="1:9" x14ac:dyDescent="0.25">
      <c r="A16" s="4" t="s">
        <v>6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</row>
    <row r="17" ht="36" customHeight="1" spans="1:9" x14ac:dyDescent="0.25">
      <c r="A17" s="4" t="s">
        <v>6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</row>
    <row r="18" ht="36" customHeight="1" spans="1:9" x14ac:dyDescent="0.25">
      <c r="A18" s="4" t="s">
        <v>6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</row>
  </sheetData>
  <mergeCells count="1">
    <mergeCell ref="A1:I1"/>
  </mergeCells>
  <conditionalFormatting sqref="C3:C18">
    <cfRule type="containsText" dxfId="3" priority="1">
      <formula>NOT(ISERROR(SEARCH("Critical",C3)))</formula>
    </cfRule>
    <cfRule type="containsText" dxfId="4" priority="2">
      <formula>NOT(ISERROR(SEARCH("Major",C3)))</formula>
    </cfRule>
    <cfRule type="containsText" dxfId="5" priority="3">
      <formula>NOT(ISERROR(SEARCH("Minor",C3)))</formula>
    </cfRule>
  </conditionalFormatting>
  <dataValidations count="2">
    <dataValidation type="list" allowBlank="1" sqref="C10:C18">
      <formula1>"Critical,Major,Minor"</formula1>
    </dataValidation>
    <dataValidation type="list" allowBlank="1" sqref="C3:C18">
      <formula1>"Critical,Major,Minor"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2" max="2" width="12" customWidth="1"/>
    <col min="3" max="3" width="16" customWidth="1"/>
    <col min="4" max="4" width="22" customWidth="1"/>
    <col min="5" max="5" width="32" customWidth="1"/>
    <col min="6" max="6" width="16" customWidth="1"/>
    <col min="7" max="7" width="12" customWidth="1"/>
    <col min="8" max="8" width="32" customWidth="1"/>
    <col min="9" max="9" width="16" customWidth="1"/>
    <col min="10" max="10" width="22" customWidth="1"/>
    <col min="11" max="11" width="18" customWidth="1"/>
  </cols>
  <sheetData>
    <row r="1" ht="24" customHeight="1" spans="1:11" x14ac:dyDescent="0.25">
      <c r="A1" s="17" t="s">
        <v>278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8" t="s">
        <v>279</v>
      </c>
      <c r="B2" s="8" t="s">
        <v>280</v>
      </c>
      <c r="C2" s="8" t="s">
        <v>281</v>
      </c>
      <c r="D2" s="8" t="s">
        <v>272</v>
      </c>
      <c r="E2" s="8" t="s">
        <v>282</v>
      </c>
      <c r="F2" s="8" t="s">
        <v>273</v>
      </c>
      <c r="G2" s="8" t="s">
        <v>274</v>
      </c>
      <c r="H2" s="8" t="s">
        <v>283</v>
      </c>
      <c r="I2" s="8" t="s">
        <v>284</v>
      </c>
      <c r="J2" s="8" t="s">
        <v>285</v>
      </c>
      <c r="K2" s="8" t="s">
        <v>286</v>
      </c>
    </row>
    <row r="3" ht="36" customHeight="1" spans="1:11" x14ac:dyDescent="0.25">
      <c r="A3" s="4" t="s">
        <v>6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6</v>
      </c>
    </row>
    <row r="4" ht="36" customHeight="1" spans="1:11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</row>
    <row r="5" ht="36" customHeight="1" spans="1:11" x14ac:dyDescent="0.25">
      <c r="A5" s="4" t="s">
        <v>6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</row>
    <row r="6" ht="36" customHeight="1" spans="1:11" x14ac:dyDescent="0.25">
      <c r="A6" s="4" t="s">
        <v>6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</row>
    <row r="7" ht="36" customHeight="1" spans="1:11" x14ac:dyDescent="0.25">
      <c r="A7" s="4" t="s">
        <v>6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</row>
    <row r="8" ht="36" customHeight="1" spans="1:11" x14ac:dyDescent="0.25">
      <c r="A8" s="4" t="s">
        <v>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</row>
    <row r="9" ht="36" customHeight="1" spans="1:11" x14ac:dyDescent="0.25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</row>
    <row r="10" ht="36" customHeight="1" spans="1:11" x14ac:dyDescent="0.25">
      <c r="A10" s="4" t="s">
        <v>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</row>
    <row r="11" ht="36" customHeight="1" spans="1:11" x14ac:dyDescent="0.25">
      <c r="A11" s="4" t="s">
        <v>6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</row>
    <row r="12" ht="36" customHeight="1" spans="1:11" x14ac:dyDescent="0.25">
      <c r="A12" s="4" t="s">
        <v>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</row>
    <row r="13" ht="36" customHeight="1" spans="1:11" x14ac:dyDescent="0.25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</row>
    <row r="14" ht="36" customHeight="1" spans="1:11" x14ac:dyDescent="0.25">
      <c r="A14" s="4" t="s">
        <v>6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</row>
    <row r="15" ht="36" customHeight="1" spans="1:11" x14ac:dyDescent="0.25">
      <c r="A15" s="4" t="s">
        <v>6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</row>
    <row r="16" ht="36" customHeight="1" spans="1:11" x14ac:dyDescent="0.25">
      <c r="A16" s="4" t="s">
        <v>6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</row>
    <row r="17" ht="36" customHeight="1" spans="1:11" x14ac:dyDescent="0.25">
      <c r="A17" s="4" t="s">
        <v>6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</row>
    <row r="18" ht="36" customHeight="1" spans="1:11" x14ac:dyDescent="0.25">
      <c r="A18" s="4" t="s">
        <v>6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</row>
  </sheetData>
  <mergeCells count="1">
    <mergeCell ref="A1:K1"/>
  </mergeCells>
  <dataValidations count="2">
    <dataValidation type="list" allowBlank="1" sqref="B10:B18">
      <formula1>"High,Medium,Low"</formula1>
    </dataValidation>
    <dataValidation type="list" allowBlank="1" sqref="B3:B1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40" customWidth="1"/>
    <col min="2" max="2" width="22" customWidth="1"/>
    <col min="3" max="3" width="14" customWidth="1"/>
    <col min="4" max="5" width="16" customWidth="1"/>
    <col min="6" max="6" width="40" customWidth="1"/>
  </cols>
  <sheetData>
    <row r="1" ht="24" customHeight="1" spans="1:6" x14ac:dyDescent="0.25">
      <c r="A1" s="17" t="s">
        <v>287</v>
      </c>
      <c r="B1" s="17"/>
      <c r="C1" s="17"/>
      <c r="D1" s="17"/>
      <c r="E1" s="17"/>
      <c r="F1" s="17"/>
    </row>
    <row r="2" spans="1:6" x14ac:dyDescent="0.25">
      <c r="A2" s="8" t="s">
        <v>288</v>
      </c>
      <c r="B2" s="8" t="s">
        <v>289</v>
      </c>
      <c r="C2" s="8" t="s">
        <v>274</v>
      </c>
      <c r="D2" s="8" t="s">
        <v>281</v>
      </c>
      <c r="E2" s="8" t="s">
        <v>290</v>
      </c>
      <c r="F2" s="8" t="s">
        <v>291</v>
      </c>
    </row>
    <row r="3" ht="30" customHeight="1" spans="1:6" x14ac:dyDescent="0.25">
      <c r="A3" s="4" t="s">
        <v>6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</row>
    <row r="4" ht="30" customHeight="1" spans="1:6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</row>
    <row r="5" ht="30" customHeight="1" spans="1:6" x14ac:dyDescent="0.25">
      <c r="A5" s="4" t="s">
        <v>6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ht="30" customHeight="1" spans="1:6" x14ac:dyDescent="0.25">
      <c r="A6" s="4" t="s">
        <v>6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ht="30" customHeight="1" spans="1:6" x14ac:dyDescent="0.25">
      <c r="A7" s="4" t="s">
        <v>6</v>
      </c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ht="30" customHeight="1" spans="1:6" x14ac:dyDescent="0.25">
      <c r="A8" s="4" t="s">
        <v>6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ht="30" customHeight="1" spans="1:6" x14ac:dyDescent="0.25">
      <c r="A9" s="4" t="s">
        <v>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ht="30" customHeight="1" spans="1:6" x14ac:dyDescent="0.25">
      <c r="A10" s="4" t="s">
        <v>6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ht="30" customHeight="1" spans="1:6" x14ac:dyDescent="0.25">
      <c r="A11" s="4" t="s">
        <v>6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ht="30" customHeight="1" spans="1:6" x14ac:dyDescent="0.25">
      <c r="A12" s="4" t="s">
        <v>6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</row>
    <row r="13" ht="30" customHeight="1" spans="1:6" x14ac:dyDescent="0.25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</row>
    <row r="14" ht="30" customHeight="1" spans="1:6" x14ac:dyDescent="0.25">
      <c r="A14" s="4" t="s">
        <v>6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</row>
    <row r="15" ht="30" customHeight="1" spans="1:6" x14ac:dyDescent="0.25">
      <c r="A15" s="4" t="s">
        <v>6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</row>
    <row r="16" ht="30" customHeight="1" spans="1:6" x14ac:dyDescent="0.25">
      <c r="A16" s="4" t="s">
        <v>6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</row>
    <row r="17" ht="30" customHeight="1" spans="1:6" x14ac:dyDescent="0.25">
      <c r="A17" s="4" t="s">
        <v>6</v>
      </c>
      <c r="B17" s="4" t="s">
        <v>6</v>
      </c>
      <c r="C17" s="4" t="s">
        <v>6</v>
      </c>
      <c r="D17" s="4" t="s">
        <v>6</v>
      </c>
      <c r="E17" s="4" t="s">
        <v>6</v>
      </c>
      <c r="F17" s="4" t="s">
        <v>6</v>
      </c>
    </row>
    <row r="18" ht="30" customHeight="1" spans="1:6" x14ac:dyDescent="0.25">
      <c r="A18" s="4" t="s">
        <v>6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ht="30" customHeight="1" spans="1:6" x14ac:dyDescent="0.25">
      <c r="A19" s="4" t="s">
        <v>6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</row>
    <row r="20" ht="30" customHeight="1" spans="1:6" x14ac:dyDescent="0.25">
      <c r="A20" s="4" t="s">
        <v>6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ht="30" customHeight="1" spans="1:6" x14ac:dyDescent="0.25">
      <c r="A21" s="4" t="s">
        <v>6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2" ht="30" customHeight="1" spans="1:6" x14ac:dyDescent="0.25">
      <c r="A22" s="4" t="s">
        <v>6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</row>
  </sheetData>
  <mergeCells count="1">
    <mergeCell ref="A1:F1"/>
  </mergeCells>
  <dataValidations count="2">
    <dataValidation type="list" allowBlank="1" sqref="C10:C22">
      <formula1>"Open,Closed,In Progress"</formula1>
    </dataValidation>
    <dataValidation type="list" allowBlank="1" sqref="C3:C22">
      <formula1>"Open,Closed,In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18" customWidth="1"/>
    <col min="4" max="4" width="70" customWidth="1"/>
  </cols>
  <sheetData>
    <row r="1" ht="24" customHeight="1" spans="1:4" x14ac:dyDescent="0.25">
      <c r="A1" s="18" t="s">
        <v>292</v>
      </c>
      <c r="B1" s="18"/>
      <c r="C1" s="18"/>
      <c r="D1" s="18"/>
    </row>
    <row r="2" spans="1:4" x14ac:dyDescent="0.25">
      <c r="A2" s="8" t="s">
        <v>35</v>
      </c>
      <c r="B2" s="8" t="s">
        <v>36</v>
      </c>
      <c r="C2" s="8" t="s">
        <v>293</v>
      </c>
      <c r="D2" s="8" t="s">
        <v>294</v>
      </c>
    </row>
    <row r="3" ht="50" customHeight="1" spans="1:4" x14ac:dyDescent="0.25">
      <c r="A3" s="12" t="s">
        <v>50</v>
      </c>
      <c r="B3" s="12" t="s">
        <v>51</v>
      </c>
      <c r="C3" s="9" t="s">
        <v>295</v>
      </c>
      <c r="D3" s="19">
        <f>=IF(Questions_Input!I3="","— not yet answered —",IF(Questions_Input!J3=FALSE,"The objective of this ""pre-approval"" SIV was conducted for training purposes only."&amp;IF(Questions_Input!O3&lt;&gt;""," | Note: "&amp;Questions_Input!O3,""),"[DEVIATION] Expected: "&amp;Questions_Input!D3&amp;" | Actual: "&amp;Questions_Input!I3&amp;" — Please clarify — deviation from expected answer. Add details in Notes column."&amp;IF(Questions_Input!O3&lt;&gt;""," | Details: "&amp;Questions_Input!O3,"")))</f>
      </c>
    </row>
    <row r="4" ht="50" customHeight="1" spans="1:4" x14ac:dyDescent="0.25">
      <c r="A4" s="12" t="s">
        <v>50</v>
      </c>
      <c r="B4" s="12" t="s">
        <v>54</v>
      </c>
      <c r="C4" s="9" t="s">
        <v>295</v>
      </c>
      <c r="D4" s="19">
        <f>=IF(Questions_Input!I4="","— not yet answered —",IF(Questions_Input!J4=FALSE,"Training was provided according to SIV PPT V.x.x. dated YYYY MMM DD and CSP V.X.X."&amp;IF(Questions_Input!O4&lt;&gt;""," | Note: "&amp;Questions_Input!O4,""),"[DEVIATION] Expected: "&amp;Questions_Input!D4&amp;" | Actual: "&amp;Questions_Input!I4&amp;" — Please clarify — deviation from expected answer. Add details in Notes column."&amp;IF(Questions_Input!O4&lt;&gt;""," | Details: "&amp;Questions_Input!O4,"")))</f>
      </c>
    </row>
    <row r="5" ht="50" customHeight="1" spans="1:4" x14ac:dyDescent="0.25">
      <c r="A5" s="12" t="s">
        <v>50</v>
      </c>
      <c r="B5" s="12" t="s">
        <v>57</v>
      </c>
      <c r="C5" s="9" t="s">
        <v>295</v>
      </c>
      <c r="D5" s="19">
        <f>=IF(Questions_Input!I5="","— not yet answered —",IF(Questions_Input!J5=FALSE,"MSLM/CRA/LSAD discussed these with the PI/SI/SC."&amp;IF(Questions_Input!O5&lt;&gt;""," | Note: "&amp;Questions_Input!O5,""),"[DEVIATION] Expected: "&amp;Questions_Input!D5&amp;" | Actual: "&amp;Questions_Input!I5&amp;" — Please clarify — deviation from expected answer. Add details in Notes column."&amp;IF(Questions_Input!O5&lt;&gt;""," | Details: "&amp;Questions_Input!O5,"")))</f>
      </c>
    </row>
    <row r="6" ht="50" customHeight="1" spans="1:4" x14ac:dyDescent="0.25">
      <c r="A6" s="12" t="s">
        <v>50</v>
      </c>
      <c r="B6" s="12" t="s">
        <v>60</v>
      </c>
      <c r="C6" s="9" t="s">
        <v>295</v>
      </c>
      <c r="D6" s="19">
        <f>=IF(Questions_Input!I6="","— not yet answered —",IF(Questions_Input!J6=FALSE,"PI/SI confirmed enrollment of 14 patients; first screening/randomization planned YYYY MM DD."&amp;IF(Questions_Input!O6&lt;&gt;""," | Note: "&amp;Questions_Input!O6,""),"[DEVIATION] Expected: "&amp;Questions_Input!D6&amp;" | Actual: "&amp;Questions_Input!I6&amp;" — Please clarify — deviation from expected answer. Add details in Notes column."&amp;IF(Questions_Input!O6&lt;&gt;""," | Details: "&amp;Questions_Input!O6,"")))</f>
      </c>
    </row>
    <row r="7" ht="50" customHeight="1" spans="1:4" x14ac:dyDescent="0.25">
      <c r="A7" s="12" t="s">
        <v>50</v>
      </c>
      <c r="B7" s="12" t="s">
        <v>63</v>
      </c>
      <c r="C7" s="9" t="s">
        <v>295</v>
      </c>
      <c r="D7" s="19">
        <f>=IF(Questions_Input!I7="","— not yet answered —",IF(Questions_Input!J7=FALSE,"CRA discussed in detail according to CSP V x.x."&amp;IF(Questions_Input!O7&lt;&gt;""," | Note: "&amp;Questions_Input!O7,""),"[DEVIATION] Expected: "&amp;Questions_Input!D7&amp;" | Actual: "&amp;Questions_Input!I7&amp;" — Please clarify — deviation from expected answer. Add details in Notes column."&amp;IF(Questions_Input!O7&lt;&gt;""," | Details: "&amp;Questions_Input!O7,"")))</f>
      </c>
    </row>
    <row r="8" ht="50" customHeight="1" spans="1:4" x14ac:dyDescent="0.25">
      <c r="A8" s="12" t="s">
        <v>50</v>
      </c>
      <c r="B8" s="12" t="s">
        <v>66</v>
      </c>
      <c r="C8" s="9" t="s">
        <v>295</v>
      </c>
      <c r="D8" s="19">
        <f>=IF(Questions_Input!I8="","— not yet answered —",IF(Questions_Input!J8=FALSE,"CRA discussed in detail according to CSP V x.x."&amp;IF(Questions_Input!O8&lt;&gt;""," | Note: "&amp;Questions_Input!O8,""),"[DEVIATION] Expected: "&amp;Questions_Input!D8&amp;" | Actual: "&amp;Questions_Input!I8&amp;" — Please clarify — deviation from expected answer. Add details in Notes column."&amp;IF(Questions_Input!O8&lt;&gt;""," | Details: "&amp;Questions_Input!O8,"")))</f>
      </c>
    </row>
    <row r="9" ht="50" customHeight="1" spans="1:4" x14ac:dyDescent="0.25">
      <c r="A9" s="12" t="s">
        <v>50</v>
      </c>
      <c r="B9" s="12" t="s">
        <v>68</v>
      </c>
      <c r="C9" s="9" t="s">
        <v>295</v>
      </c>
      <c r="D9" s="19">
        <f>=IF(Questions_Input!I9="","— not yet answered —",IF(Questions_Input!J9=FALSE,"CRA discussed in detail according to CSP V x.x."&amp;IF(Questions_Input!O9&lt;&gt;""," | Note: "&amp;Questions_Input!O9,""),"[DEVIATION] Expected: "&amp;Questions_Input!D9&amp;" | Actual: "&amp;Questions_Input!I9&amp;" — Please clarify — deviation from expected answer. Add details in Notes column."&amp;IF(Questions_Input!O9&lt;&gt;""," | Details: "&amp;Questions_Input!O9,"")))</f>
      </c>
    </row>
    <row r="10" ht="50" customHeight="1" spans="1:4" x14ac:dyDescent="0.25">
      <c r="A10" s="12" t="s">
        <v>50</v>
      </c>
      <c r="B10" s="12" t="s">
        <v>70</v>
      </c>
      <c r="C10" s="9" t="s">
        <v>295</v>
      </c>
      <c r="D10" s="19">
        <f>=IF(Questions_Input!I10="","— not yet answered —",IF(Questions_Input!J10=FALSE,"CRA discussed in detail according to CSP V x.x. See also 1.1 regarding Pre-Approval nature."&amp;IF(Questions_Input!O10&lt;&gt;""," | Note: "&amp;Questions_Input!O10,""),"[DEVIATION] Expected: "&amp;Questions_Input!D10&amp;" | Actual: "&amp;Questions_Input!I10&amp;" — Please clarify — deviation from expected answer. Add details in Notes column."&amp;IF(Questions_Input!O10&lt;&gt;""," | Details: "&amp;Questions_Input!O10,"")))</f>
      </c>
    </row>
    <row r="11" ht="50" customHeight="1" spans="1:4" x14ac:dyDescent="0.25">
      <c r="A11" s="12" t="s">
        <v>50</v>
      </c>
      <c r="B11" s="12" t="s">
        <v>73</v>
      </c>
      <c r="C11" s="9" t="s">
        <v>295</v>
      </c>
      <c r="D11" s="19">
        <f>=IF(Questions_Input!I11="","— not yet answered —",IF(Questions_Input!J11=FALSE,"CRA discussed AE reporting procedures in detail according to CSP V x.x."&amp;IF(Questions_Input!O11&lt;&gt;""," | Note: "&amp;Questions_Input!O11,""),"[DEVIATION] Expected: "&amp;Questions_Input!D11&amp;" | Actual: "&amp;Questions_Input!I11&amp;" — Please clarify — deviation from expected answer. Add details in Notes column."&amp;IF(Questions_Input!O11&lt;&gt;""," | Details: "&amp;Questions_Input!O11,"")))</f>
      </c>
    </row>
    <row r="12" ht="50" customHeight="1" spans="1:4" x14ac:dyDescent="0.25">
      <c r="A12" s="12" t="s">
        <v>50</v>
      </c>
      <c r="B12" s="12" t="s">
        <v>76</v>
      </c>
      <c r="C12" s="9" t="s">
        <v>295</v>
      </c>
      <c r="D12" s="19">
        <f>=IF(Questions_Input!I12="","— not yet answered —",IF(Questions_Input!J12=FALSE,"CRA discussed in detail according to CSP V x.x."&amp;IF(Questions_Input!O12&lt;&gt;""," | Note: "&amp;Questions_Input!O12,""),"[DEVIATION] Expected: "&amp;Questions_Input!D12&amp;" | Actual: "&amp;Questions_Input!I12&amp;" — Please clarify — deviation from expected answer. Add details in Notes column."&amp;IF(Questions_Input!O12&lt;&gt;""," | Details: "&amp;Questions_Input!O12,"")))</f>
      </c>
    </row>
    <row r="13" ht="50" customHeight="1" spans="1:4" x14ac:dyDescent="0.25">
      <c r="A13" s="12" t="s">
        <v>50</v>
      </c>
      <c r="B13" s="12" t="s">
        <v>78</v>
      </c>
      <c r="C13" s="9" t="s">
        <v>295</v>
      </c>
      <c r="D13" s="19">
        <f>=IF(Questions_Input!I13="","— not yet answered —",IF(Questions_Input!J13=FALSE,"HIGH risk for theft discussed — site to notify Monitor immediately, no later than 24h."&amp;IF(Questions_Input!O13&lt;&gt;""," | Note: "&amp;Questions_Input!O13,""),"[DEVIATION] Expected: "&amp;Questions_Input!D13&amp;" | Actual: "&amp;Questions_Input!I13&amp;" — Please clarify — deviation from expected answer. Add details in Notes column."&amp;IF(Questions_Input!O13&lt;&gt;""," | Details: "&amp;Questions_Input!O13,"")))</f>
      </c>
    </row>
    <row r="14" ht="50" customHeight="1" spans="1:4" x14ac:dyDescent="0.25">
      <c r="A14" s="12" t="s">
        <v>50</v>
      </c>
      <c r="B14" s="12" t="s">
        <v>81</v>
      </c>
      <c r="C14" s="9" t="s">
        <v>295</v>
      </c>
      <c r="D14" s="19">
        <f>=IF(Questions_Input!I14="","— not yet answered —",IF(Questions_Input!J14=FALSE,"MSLM, CRA, LSAD discussed in detail and site is in agreement."&amp;IF(Questions_Input!O14&lt;&gt;""," | Note: "&amp;Questions_Input!O14,""),"[DEVIATION] Expected: "&amp;Questions_Input!D14&amp;" | Actual: "&amp;Questions_Input!I14&amp;" — Please clarify — deviation from expected answer. Add details in Notes column."&amp;IF(Questions_Input!O14&lt;&gt;""," | Details: "&amp;Questions_Input!O14,"")))</f>
      </c>
    </row>
    <row r="15" ht="50" customHeight="1" spans="1:4" x14ac:dyDescent="0.25">
      <c r="A15" s="12" t="s">
        <v>50</v>
      </c>
      <c r="B15" s="12" t="s">
        <v>84</v>
      </c>
      <c r="C15" s="9" t="s">
        <v>295</v>
      </c>
      <c r="D15" s="19">
        <f>=IF(Questions_Input!I15="","— not yet answered —",IF(Questions_Input!J15=FALSE,"MSLM, CRA, LSAD discussed in detail. See also 1.1 Pre-Approval nature."&amp;IF(Questions_Input!O15&lt;&gt;""," | Note: "&amp;Questions_Input!O15,""),"[DEVIATION] Expected: "&amp;Questions_Input!D15&amp;" | Actual: "&amp;Questions_Input!I15&amp;" — Please clarify — deviation from expected answer. Add details in Notes column."&amp;IF(Questions_Input!O15&lt;&gt;""," | Details: "&amp;Questions_Input!O15,"")))</f>
      </c>
    </row>
    <row r="16" ht="50" customHeight="1" spans="1:4" x14ac:dyDescent="0.25">
      <c r="A16" s="12" t="s">
        <v>50</v>
      </c>
      <c r="B16" s="12" t="s">
        <v>87</v>
      </c>
      <c r="C16" s="9" t="s">
        <v>295</v>
      </c>
      <c r="D16" s="19">
        <f>=IF(Questions_Input!I16="","— not yet answered —",IF(Questions_Input!J16=FALSE,"NA — This study is open label."&amp;IF(Questions_Input!O16&lt;&gt;""," | Note: "&amp;Questions_Input!O16,""),"[DEVIATION] Expected: "&amp;Questions_Input!D16&amp;" | Actual: "&amp;Questions_Input!I16&amp;" — Please clarify — deviation from expected answer. Add details in Notes column."&amp;IF(Questions_Input!O16&lt;&gt;""," | Details: "&amp;Questions_Input!O16,"")))</f>
      </c>
    </row>
    <row r="17" ht="50" customHeight="1" spans="1:4" x14ac:dyDescent="0.25">
      <c r="A17" s="12" t="s">
        <v>50</v>
      </c>
      <c r="B17" s="12" t="s">
        <v>91</v>
      </c>
      <c r="C17" s="9" t="s">
        <v>295</v>
      </c>
      <c r="D17" s="19">
        <f>=IF(Questions_Input!I17="","— not yet answered —",IF(Questions_Input!J17=FALSE,"NA — This study is open label."&amp;IF(Questions_Input!O17&lt;&gt;""," | Note: "&amp;Questions_Input!O17,""),"[DEVIATION] Expected: "&amp;Questions_Input!D17&amp;" | Actual: "&amp;Questions_Input!I17&amp;" — Please clarify — deviation from expected answer. Add details in Notes column."&amp;IF(Questions_Input!O17&lt;&gt;""," | Details: "&amp;Questions_Input!O17,"")))</f>
      </c>
    </row>
    <row r="18" ht="50" customHeight="1" spans="1:4" x14ac:dyDescent="0.25">
      <c r="A18" s="12" t="s">
        <v>50</v>
      </c>
      <c r="B18" s="12" t="s">
        <v>93</v>
      </c>
      <c r="C18" s="9" t="s">
        <v>295</v>
      </c>
      <c r="D18" s="19">
        <f>=IF(Questions_Input!I18="","— not yet answered —",IF(Questions_Input!J18=FALSE,"CRA discussed in detail; site is in agreement."&amp;IF(Questions_Input!O18&lt;&gt;""," | Note: "&amp;Questions_Input!O18,""),"[DEVIATION] Expected: "&amp;Questions_Input!D18&amp;" | Actual: "&amp;Questions_Input!I18&amp;" — Please clarify — deviation from expected answer. Add details in Notes column."&amp;IF(Questions_Input!O18&lt;&gt;""," | Details: "&amp;Questions_Input!O18,"")))</f>
      </c>
    </row>
    <row r="19" ht="50" customHeight="1" spans="1:4" x14ac:dyDescent="0.25">
      <c r="A19" s="12" t="s">
        <v>50</v>
      </c>
      <c r="B19" s="12" t="s">
        <v>96</v>
      </c>
      <c r="C19" s="9" t="s">
        <v>295</v>
      </c>
      <c r="D19" s="19">
        <f>=IF(Questions_Input!I19="","— not yet answered —",IF(Questions_Input!J19=FALSE,"CRA discussed with the site in detail."&amp;IF(Questions_Input!O19&lt;&gt;""," | Note: "&amp;Questions_Input!O19,""),"[DEVIATION] Expected: "&amp;Questions_Input!D19&amp;" | Actual: "&amp;Questions_Input!I19&amp;" — Please clarify — deviation from expected answer. Add details in Notes column."&amp;IF(Questions_Input!O19&lt;&gt;""," | Details: "&amp;Questions_Input!O19,"")))</f>
      </c>
    </row>
    <row r="20" ht="50" customHeight="1" spans="1:4" x14ac:dyDescent="0.25">
      <c r="A20" s="12" t="s">
        <v>50</v>
      </c>
      <c r="B20" s="12" t="s">
        <v>99</v>
      </c>
      <c r="C20" s="9" t="s">
        <v>295</v>
      </c>
      <c r="D20" s="19">
        <f>=IF(Questions_Input!I20="","— not yet answered —",IF(Questions_Input!J20=FALSE,"NA."&amp;IF(Questions_Input!O20&lt;&gt;""," | Note: "&amp;Questions_Input!O20,""),"[DEVIATION] Expected: "&amp;Questions_Input!D20&amp;" | Actual: "&amp;Questions_Input!I20&amp;" — Please clarify — deviation from expected answer. Add details in Notes column."&amp;IF(Questions_Input!O20&lt;&gt;""," | Details: "&amp;Questions_Input!O20,"")))</f>
      </c>
    </row>
    <row r="21" ht="50" customHeight="1" spans="1:4" x14ac:dyDescent="0.25">
      <c r="A21" s="12" t="s">
        <v>50</v>
      </c>
      <c r="B21" s="12" t="s">
        <v>102</v>
      </c>
      <c r="C21" s="9" t="s">
        <v>295</v>
      </c>
      <c r="D21" s="19">
        <f>=IF(Questions_Input!I21="","— not yet answered —",IF(Questions_Input!J21=FALSE,"All certificates and calibrations are in place and were reviewed."&amp;IF(Questions_Input!O21&lt;&gt;""," | Note: "&amp;Questions_Input!O21,""),"[DEVIATION] Expected: "&amp;Questions_Input!D21&amp;" | Actual: "&amp;Questions_Input!I21&amp;" — Please clarify — deviation from expected answer. Add details in Notes column."&amp;IF(Questions_Input!O21&lt;&gt;""," | Details: "&amp;Questions_Input!O21,"")))</f>
      </c>
    </row>
    <row r="22" ht="50" customHeight="1" spans="1:4" x14ac:dyDescent="0.25">
      <c r="A22" s="12" t="s">
        <v>50</v>
      </c>
      <c r="B22" s="12" t="s">
        <v>105</v>
      </c>
      <c r="C22" s="9" t="s">
        <v>295</v>
      </c>
      <c r="D22" s="19">
        <f>=IF(Questions_Input!I22="","— not yet answered —",IF(Questions_Input!J22=FALSE,"Site is fully trained and accesses are working/were requested."&amp;IF(Questions_Input!O22&lt;&gt;""," | Note: "&amp;Questions_Input!O22,""),"[DEVIATION] Expected: "&amp;Questions_Input!D22&amp;" | Actual: "&amp;Questions_Input!I22&amp;" — Please clarify — deviation from expected answer. Add details in Notes column."&amp;IF(Questions_Input!O22&lt;&gt;""," | Details: "&amp;Questions_Input!O22,"")))</f>
      </c>
    </row>
    <row r="23" ht="50" customHeight="1" spans="1:4" x14ac:dyDescent="0.25">
      <c r="A23" s="12" t="s">
        <v>50</v>
      </c>
      <c r="B23" s="12" t="s">
        <v>108</v>
      </c>
      <c r="C23" s="9" t="s">
        <v>295</v>
      </c>
      <c r="D23" s="19">
        <f>=IF(Questions_Input!I23="","— not yet answered —",IF(Questions_Input!J23=FALSE,"Site to immediately notify Study Clinical Lead and Clinical Team."&amp;IF(Questions_Input!O23&lt;&gt;""," | Note: "&amp;Questions_Input!O23,""),"[DEVIATION] Expected: "&amp;Questions_Input!D23&amp;" | Actual: "&amp;Questions_Input!I23&amp;" — Please clarify — deviation from expected answer. Add details in Notes column."&amp;IF(Questions_Input!O23&lt;&gt;""," | Details: "&amp;Questions_Input!O23,"")))</f>
      </c>
    </row>
    <row r="24" ht="50" customHeight="1" spans="1:4" x14ac:dyDescent="0.25">
      <c r="A24" s="12" t="s">
        <v>50</v>
      </c>
      <c r="B24" s="12" t="s">
        <v>111</v>
      </c>
      <c r="C24" s="9" t="s">
        <v>295</v>
      </c>
      <c r="D24" s="19">
        <f>=IF(Questions_Input!I24="","— not yet answered —",IF(Questions_Input!J24=FALSE,"MSLM, CRA, LSAD discussed in detail and site is in agreement."&amp;IF(Questions_Input!O24&lt;&gt;""," | Note: "&amp;Questions_Input!O24,""),"[DEVIATION] Expected: "&amp;Questions_Input!D24&amp;" | Actual: "&amp;Questions_Input!I24&amp;" — Please clarify — deviation from expected answer. Add details in Notes column."&amp;IF(Questions_Input!O24&lt;&gt;""," | Details: "&amp;Questions_Input!O24,"")))</f>
      </c>
    </row>
    <row r="25" ht="50" customHeight="1" spans="1:4" x14ac:dyDescent="0.25">
      <c r="A25" s="12" t="s">
        <v>50</v>
      </c>
      <c r="B25" s="12" t="s">
        <v>113</v>
      </c>
      <c r="C25" s="9" t="s">
        <v>295</v>
      </c>
      <c r="D25" s="19">
        <f>=IF(Questions_Input!I25="","— not yet answered —",IF(Questions_Input!J25=FALSE,"The listed Personnel was fully trained. ICF versions, IP Handling Manual, Biological Sample Handling, ISF and Vendors discussed."&amp;IF(Questions_Input!O25&lt;&gt;""," | Note: "&amp;Questions_Input!O25,""),"[DEVIATION] Expected: "&amp;Questions_Input!D25&amp;" | Actual: "&amp;Questions_Input!I25&amp;" — Please clarify — deviation from expected answer. Add details in Notes column."&amp;IF(Questions_Input!O25&lt;&gt;""," | Details: "&amp;Questions_Input!O25,"")))</f>
      </c>
    </row>
    <row r="26" ht="50" customHeight="1" spans="1:4" x14ac:dyDescent="0.25">
      <c r="A26" s="12" t="s">
        <v>116</v>
      </c>
      <c r="B26" s="12" t="s">
        <v>117</v>
      </c>
      <c r="C26" s="9" t="s">
        <v>296</v>
      </c>
      <c r="D26" s="19">
        <f>=IF(Questions_Input!I26="","— not yet answered —",IF(Questions_Input!J26=FALSE,"PI confirmed 14 patients; first screening/randomization planned YYYY MM DD."&amp;IF(Questions_Input!O26&lt;&gt;""," | Note: "&amp;Questions_Input!O26,""),"[DEVIATION] Expected: "&amp;Questions_Input!D26&amp;" | Actual: "&amp;Questions_Input!I26&amp;" — Please clarify — deviation from expected answer. Add details in Notes column."&amp;IF(Questions_Input!O26&lt;&gt;""," | Details: "&amp;Questions_Input!O26,"")))</f>
      </c>
    </row>
    <row r="27" ht="50" customHeight="1" spans="1:4" x14ac:dyDescent="0.25">
      <c r="A27" s="12" t="s">
        <v>116</v>
      </c>
      <c r="B27" s="12" t="s">
        <v>120</v>
      </c>
      <c r="C27" s="9" t="s">
        <v>296</v>
      </c>
      <c r="D27" s="19">
        <f>=IF(Questions_Input!I27="","— not yet answered —",IF(Questions_Input!J27=FALSE,"See 1.1 regarding Pre-Approval nature of this visit."&amp;IF(Questions_Input!O27&lt;&gt;""," | Note: "&amp;Questions_Input!O27,""),"[DEVIATION] Expected: "&amp;Questions_Input!D27&amp;" | Actual: "&amp;Questions_Input!I27&amp;" — Please clarify — deviation from expected answer. Add details in Notes column."&amp;IF(Questions_Input!O27&lt;&gt;""," | Details: "&amp;Questions_Input!O27,"")))</f>
      </c>
    </row>
    <row r="28" ht="50" customHeight="1" spans="1:4" x14ac:dyDescent="0.25">
      <c r="A28" s="12" t="s">
        <v>116</v>
      </c>
      <c r="B28" s="12" t="s">
        <v>123</v>
      </c>
      <c r="C28" s="9" t="s">
        <v>296</v>
      </c>
      <c r="D28" s="19">
        <f>=IF(Questions_Input!I28="","— not yet answered —",IF(Questions_Input!J28=FALSE,"CRA/LSAD discussed patient-reimbursement and retention. Thank You Cards in German discussed."&amp;IF(Questions_Input!O28&lt;&gt;""," | Note: "&amp;Questions_Input!O28,""),"[DEVIATION] Expected: "&amp;Questions_Input!D28&amp;" | Actual: "&amp;Questions_Input!I28&amp;" — Please clarify — deviation from expected answer. Add details in Notes column."&amp;IF(Questions_Input!O28&lt;&gt;""," | Details: "&amp;Questions_Input!O28,"")))</f>
      </c>
    </row>
    <row r="29" ht="50" customHeight="1" spans="1:4" x14ac:dyDescent="0.25">
      <c r="A29" s="12" t="s">
        <v>126</v>
      </c>
      <c r="B29" s="12" t="s">
        <v>127</v>
      </c>
      <c r="C29" s="9" t="s">
        <v>297</v>
      </c>
      <c r="D29" s="19">
        <f>=IF(Questions_Input!I29="","— not yet answered —",IF(Questions_Input!J29=FALSE,"Site was informed no patient procedures before sponsor approval via ""Ready To Enrollment""."&amp;IF(Questions_Input!O29&lt;&gt;""," | Note: "&amp;Questions_Input!O29,""),"[DEVIATION] Expected: "&amp;Questions_Input!D29&amp;" | Actual: "&amp;Questions_Input!I29&amp;" — Please clarify — deviation from expected answer. Add details in Notes column."&amp;IF(Questions_Input!O29&lt;&gt;""," | Details: "&amp;Questions_Input!O29,"")))</f>
      </c>
    </row>
    <row r="30" ht="50" customHeight="1" spans="1:4" x14ac:dyDescent="0.25">
      <c r="A30" s="12" t="s">
        <v>126</v>
      </c>
      <c r="B30" s="12" t="s">
        <v>130</v>
      </c>
      <c r="C30" s="9" t="s">
        <v>297</v>
      </c>
      <c r="D30" s="19">
        <f>=IF(Questions_Input!I30="","— not yet answered —",IF(Questions_Input!J30=FALSE,"NA — Sponsor will report accordingly and inform sites."&amp;IF(Questions_Input!O30&lt;&gt;""," | Note: "&amp;Questions_Input!O30,""),"[DEVIATION] Expected: "&amp;Questions_Input!D30&amp;" | Actual: "&amp;Questions_Input!I30&amp;" — Please clarify — deviation from expected answer. Add details in Notes column."&amp;IF(Questions_Input!O30&lt;&gt;""," | Details: "&amp;Questions_Input!O30,"")))</f>
      </c>
    </row>
    <row r="31" ht="50" customHeight="1" spans="1:4" x14ac:dyDescent="0.25">
      <c r="A31" s="12" t="s">
        <v>126</v>
      </c>
      <c r="B31" s="12" t="s">
        <v>133</v>
      </c>
      <c r="C31" s="9" t="s">
        <v>297</v>
      </c>
      <c r="D31" s="19">
        <f>=IF(Questions_Input!I31="","— not yet answered —",IF(Questions_Input!J31=FALSE,"Please refer to 3.2."&amp;IF(Questions_Input!O31&lt;&gt;""," | Note: "&amp;Questions_Input!O31,""),"[DEVIATION] Expected: "&amp;Questions_Input!D31&amp;" | Actual: "&amp;Questions_Input!I31&amp;" — Please clarify — deviation from expected answer. Add details in Notes column."&amp;IF(Questions_Input!O31&lt;&gt;""," | Details: "&amp;Questions_Input!O31,"")))</f>
      </c>
    </row>
    <row r="32" ht="50" customHeight="1" spans="1:4" x14ac:dyDescent="0.25">
      <c r="A32" s="12" t="s">
        <v>136</v>
      </c>
      <c r="B32" s="12" t="s">
        <v>137</v>
      </c>
      <c r="C32" s="9" t="s">
        <v>298</v>
      </c>
      <c r="D32" s="19">
        <f>=IF(Questions_Input!I32="","— not yet answered —",IF(Questions_Input!J32=FALSE,"CRA discussed REMs regularly; main SC is contact; medical queries forwarded to PI/SI."&amp;IF(Questions_Input!O32&lt;&gt;""," | Note: "&amp;Questions_Input!O32,""),"[DEVIATION] Expected: "&amp;Questions_Input!D32&amp;" | Actual: "&amp;Questions_Input!I32&amp;" — Please clarify — deviation from expected answer. Add details in Notes column."&amp;IF(Questions_Input!O32&lt;&gt;""," | Details: "&amp;Questions_Input!O32,"")))</f>
      </c>
    </row>
    <row r="33" ht="50" customHeight="1" spans="1:4" x14ac:dyDescent="0.25">
      <c r="A33" s="12" t="s">
        <v>136</v>
      </c>
      <c r="B33" s="12" t="s">
        <v>140</v>
      </c>
      <c r="C33" s="9" t="s">
        <v>298</v>
      </c>
      <c r="D33" s="19">
        <f>=IF(Questions_Input!I33="","— not yet answered —",IF(Questions_Input!J33=FALSE,"Site is aware; first RMV after first patient screened."&amp;IF(Questions_Input!O33&lt;&gt;""," | Note: "&amp;Questions_Input!O33,""),"[DEVIATION] Expected: "&amp;Questions_Input!D33&amp;" | Actual: "&amp;Questions_Input!I33&amp;" — Please clarify — deviation from expected answer. Add details in Notes column."&amp;IF(Questions_Input!O33&lt;&gt;""," | Details: "&amp;Questions_Input!O33,"")))</f>
      </c>
    </row>
    <row r="34" ht="50" customHeight="1" spans="1:4" x14ac:dyDescent="0.25">
      <c r="A34" s="12" t="s">
        <v>136</v>
      </c>
      <c r="B34" s="12" t="s">
        <v>143</v>
      </c>
      <c r="C34" s="9" t="s">
        <v>298</v>
      </c>
      <c r="D34" s="19">
        <f>=IF(Questions_Input!I34="","— not yet answered —",IF(Questions_Input!J34=FALSE,"CRA discussed frequency; site is in agreement."&amp;IF(Questions_Input!O34&lt;&gt;""," | Note: "&amp;Questions_Input!O34,""),"[DEVIATION] Expected: "&amp;Questions_Input!D34&amp;" | Actual: "&amp;Questions_Input!I34&amp;" — Please clarify — deviation from expected answer. Add details in Notes column."&amp;IF(Questions_Input!O34&lt;&gt;""," | Details: "&amp;Questions_Input!O34,"")))</f>
      </c>
    </row>
    <row r="35" ht="50" customHeight="1" spans="1:4" x14ac:dyDescent="0.25">
      <c r="A35" s="12" t="s">
        <v>136</v>
      </c>
      <c r="B35" s="12" t="s">
        <v>146</v>
      </c>
      <c r="C35" s="9" t="s">
        <v>298</v>
      </c>
      <c r="D35" s="19">
        <f>=IF(Questions_Input!I35="","— not yet answered —",IF(Questions_Input!J35=FALSE,"CRA discussed in detail. Site is in agreement."&amp;IF(Questions_Input!O35&lt;&gt;""," | Note: "&amp;Questions_Input!O35,""),"[DEVIATION] Expected: "&amp;Questions_Input!D35&amp;" | Actual: "&amp;Questions_Input!I35&amp;" — Please clarify — deviation from expected answer. Add details in Notes column."&amp;IF(Questions_Input!O35&lt;&gt;""," | Details: "&amp;Questions_Input!O35,"")))</f>
      </c>
    </row>
    <row r="36" ht="50" customHeight="1" spans="1:4" x14ac:dyDescent="0.25">
      <c r="A36" s="12" t="s">
        <v>136</v>
      </c>
      <c r="B36" s="12" t="s">
        <v>149</v>
      </c>
      <c r="C36" s="9" t="s">
        <v>298</v>
      </c>
      <c r="D36" s="19">
        <f>=IF(Questions_Input!I36="","— not yet answered —",IF(Questions_Input!J36=FALSE,"Site using printouts/EMR; CRA will get access according to 21 CFR Part 11."&amp;IF(Questions_Input!O36&lt;&gt;""," | Note: "&amp;Questions_Input!O36,""),"[DEVIATION] Expected: "&amp;Questions_Input!D36&amp;" | Actual: "&amp;Questions_Input!I36&amp;" — Please clarify — deviation from expected answer. Add details in Notes column."&amp;IF(Questions_Input!O36&lt;&gt;""," | Details: "&amp;Questions_Input!O36,"")))</f>
      </c>
    </row>
    <row r="37" ht="50" customHeight="1" spans="1:4" x14ac:dyDescent="0.25">
      <c r="A37" s="12" t="s">
        <v>136</v>
      </c>
      <c r="B37" s="12" t="s">
        <v>152</v>
      </c>
      <c r="C37" s="9" t="s">
        <v>298</v>
      </c>
      <c r="D37" s="19">
        <f>=IF(Questions_Input!I37="","— not yet answered —",IF(Questions_Input!J37=FALSE,"CRA will get access only to study patients according to 21 CFR Part 11."&amp;IF(Questions_Input!O37&lt;&gt;""," | Note: "&amp;Questions_Input!O37,""),"[DEVIATION] Expected: "&amp;Questions_Input!D37&amp;" | Actual: "&amp;Questions_Input!I37&amp;" — Please clarify — deviation from expected answer. Add details in Notes column."&amp;IF(Questions_Input!O37&lt;&gt;""," | Details: "&amp;Questions_Input!O37,"")))</f>
      </c>
    </row>
    <row r="38" ht="50" customHeight="1" spans="1:4" x14ac:dyDescent="0.25">
      <c r="A38" s="12" t="s">
        <v>136</v>
      </c>
      <c r="B38" s="12" t="s">
        <v>155</v>
      </c>
      <c r="C38" s="9" t="s">
        <v>298</v>
      </c>
      <c r="D38" s="19">
        <f>=IF(Questions_Input!I38="","— not yet answered —",IF(Questions_Input!J38=FALSE,"NA — Site using local lab for quick check; Central Lab used in general."&amp;IF(Questions_Input!O38&lt;&gt;""," | Note: "&amp;Questions_Input!O38,""),"[DEVIATION] Expected: "&amp;Questions_Input!D38&amp;" | Actual: "&amp;Questions_Input!I38&amp;" — Please clarify — deviation from expected answer. Add details in Notes column."&amp;IF(Questions_Input!O38&lt;&gt;""," | Details: "&amp;Questions_Input!O38,"")))</f>
      </c>
    </row>
    <row r="39" ht="50" customHeight="1" spans="1:4" x14ac:dyDescent="0.25">
      <c r="A39" s="12" t="s">
        <v>136</v>
      </c>
      <c r="B39" s="12" t="s">
        <v>158</v>
      </c>
      <c r="C39" s="9" t="s">
        <v>298</v>
      </c>
      <c r="D39" s="19">
        <f>=IF(Questions_Input!I39="","— not yet answered —",IF(Questions_Input!J39=FALSE,"CRA discussed all applicable study patient data need to be reviewed on an ongoing basis."&amp;IF(Questions_Input!O39&lt;&gt;""," | Note: "&amp;Questions_Input!O39,""),"[DEVIATION] Expected: "&amp;Questions_Input!D39&amp;" | Actual: "&amp;Questions_Input!I39&amp;" — Please clarify — deviation from expected answer. Add details in Notes column."&amp;IF(Questions_Input!O39&lt;&gt;""," | Details: "&amp;Questions_Input!O39,"")))</f>
      </c>
    </row>
    <row r="40" ht="50" customHeight="1" spans="1:4" x14ac:dyDescent="0.25">
      <c r="A40" s="12" t="s">
        <v>161</v>
      </c>
      <c r="B40" s="12" t="s">
        <v>162</v>
      </c>
      <c r="C40" s="9" t="s">
        <v>299</v>
      </c>
      <c r="D40" s="19">
        <f>=IF(Questions_Input!I40="","— not yet answered —",IF(Questions_Input!J40=FALSE,"CRA checked the facility and considered it adequate."&amp;IF(Questions_Input!O40&lt;&gt;""," | Note: "&amp;Questions_Input!O40,""),"[DEVIATION] Expected: "&amp;Questions_Input!D40&amp;" | Actual: "&amp;Questions_Input!I40&amp;" — Please clarify — deviation from expected answer. Add details in Notes column."&amp;IF(Questions_Input!O40&lt;&gt;""," | Details: "&amp;Questions_Input!O40,"")))</f>
      </c>
    </row>
    <row r="41" ht="50" customHeight="1" spans="1:4" x14ac:dyDescent="0.25">
      <c r="A41" s="12" t="s">
        <v>161</v>
      </c>
      <c r="B41" s="12" t="s">
        <v>165</v>
      </c>
      <c r="C41" s="9" t="s">
        <v>299</v>
      </c>
      <c r="D41" s="19">
        <f>=IF(Questions_Input!I41="","— not yet answered —",IF(Questions_Input!J41=FALSE,"See 1.1. IP restrictions communicated. Initial IP Shipment triggered once IP Greenlight activities completed. Site must inform LST prior any new patient screening/randomization."&amp;IF(Questions_Input!O41&lt;&gt;""," | Note: "&amp;Questions_Input!O41,""),"[DEVIATION] Expected: "&amp;Questions_Input!D41&amp;" | Actual: "&amp;Questions_Input!I41&amp;" — Please clarify — deviation from expected answer. Add details in Notes column."&amp;IF(Questions_Input!O41&lt;&gt;""," | Details: "&amp;Questions_Input!O41,"")))</f>
      </c>
    </row>
    <row r="42" ht="50" customHeight="1" spans="1:4" x14ac:dyDescent="0.25">
      <c r="A42" s="12" t="s">
        <v>168</v>
      </c>
      <c r="B42" s="12" t="s">
        <v>169</v>
      </c>
      <c r="C42" s="9" t="s">
        <v>300</v>
      </c>
      <c r="D42" s="19">
        <f>=IF(Questions_Input!I42="","— not yet answered —",IF(Questions_Input!J42=FALSE,"Lab Samples will be stored in secured fridge/freezer at -20°C and/or -80°C."&amp;IF(Questions_Input!O42&lt;&gt;""," | Note: "&amp;Questions_Input!O42,""),"[DEVIATION] Expected: "&amp;Questions_Input!D42&amp;" | Actual: "&amp;Questions_Input!I42&amp;" — Please clarify — deviation from expected answer. Add details in Notes column."&amp;IF(Questions_Input!O42&lt;&gt;""," | Details: "&amp;Questions_Input!O42,"")))</f>
      </c>
    </row>
    <row r="43" ht="50" customHeight="1" spans="1:4" x14ac:dyDescent="0.25">
      <c r="A43" s="12" t="s">
        <v>168</v>
      </c>
      <c r="B43" s="12" t="s">
        <v>172</v>
      </c>
      <c r="C43" s="9" t="s">
        <v>300</v>
      </c>
      <c r="D43" s="19">
        <f>=IF(Questions_Input!I43="","— not yet answered —",IF(Questions_Input!J43=FALSE,"CRA checked during SIV."&amp;IF(Questions_Input!O43&lt;&gt;""," | Note: "&amp;Questions_Input!O43,""),"[DEVIATION] Expected: "&amp;Questions_Input!D43&amp;" | Actual: "&amp;Questions_Input!I43&amp;" — Please clarify — deviation from expected answer. Add details in Notes column."&amp;IF(Questions_Input!O43&lt;&gt;""," | Details: "&amp;Questions_Input!O43,"")))</f>
      </c>
    </row>
    <row r="44" ht="50" customHeight="1" spans="1:4" x14ac:dyDescent="0.25">
      <c r="A44" s="12" t="s">
        <v>168</v>
      </c>
      <c r="B44" s="12" t="s">
        <v>175</v>
      </c>
      <c r="C44" s="9" t="s">
        <v>300</v>
      </c>
      <c r="D44" s="19">
        <f>=IF(Questions_Input!I44="","— not yet answered —",IF(Questions_Input!J44=FALSE,"NA — Central Lab will be used. Main SC is IATA trained. AZ HbS Log Vx to be used."&amp;IF(Questions_Input!O44&lt;&gt;""," | Note: "&amp;Questions_Input!O44,""),"[DEVIATION] Expected: "&amp;Questions_Input!D44&amp;" | Actual: "&amp;Questions_Input!I44&amp;" — Please clarify — deviation from expected answer. Add details in Notes column."&amp;IF(Questions_Input!O44&lt;&gt;""," | Details: "&amp;Questions_Input!O44,"")))</f>
      </c>
    </row>
    <row r="45" ht="50" customHeight="1" spans="1:4" x14ac:dyDescent="0.25">
      <c r="A45" s="12" t="s">
        <v>178</v>
      </c>
      <c r="B45" s="12" t="s">
        <v>179</v>
      </c>
      <c r="C45" s="9" t="s">
        <v>301</v>
      </c>
      <c r="D45" s="19">
        <f>=IF(Questions_Input!I45="","— not yet answered —",IF(Questions_Input!J45=FALSE,"All accesses provided. SC activated; PI/SI accesses pending after Pre-Approval SIV."&amp;IF(Questions_Input!O45&lt;&gt;""," | Note: "&amp;Questions_Input!O45,""),"[DEVIATION] Expected: "&amp;Questions_Input!D45&amp;" | Actual: "&amp;Questions_Input!I45&amp;" — Please clarify — deviation from expected answer. Add details in Notes column."&amp;IF(Questions_Input!O45&lt;&gt;""," | Details: "&amp;Questions_Input!O45,"")))</f>
      </c>
    </row>
    <row r="46" ht="50" customHeight="1" spans="1:4" x14ac:dyDescent="0.25">
      <c r="A46" s="12" t="s">
        <v>178</v>
      </c>
      <c r="B46" s="12" t="s">
        <v>182</v>
      </c>
      <c r="C46" s="9" t="s">
        <v>301</v>
      </c>
      <c r="D46" s="19">
        <f>=IF(Questions_Input!I46="","— not yet answered —",IF(Questions_Input!J46=FALSE,"The whole Site Team is fully activated."&amp;IF(Questions_Input!O46&lt;&gt;""," | Note: "&amp;Questions_Input!O46,""),"[DEVIATION] Expected: "&amp;Questions_Input!D46&amp;" | Actual: "&amp;Questions_Input!I46&amp;" — Please clarify — deviation from expected answer. Add details in Notes column."&amp;IF(Questions_Input!O46&lt;&gt;""," | Details: "&amp;Questions_Input!O46,"")))</f>
      </c>
    </row>
    <row r="47" ht="50" customHeight="1" spans="1:4" x14ac:dyDescent="0.25">
      <c r="A47" s="12" t="s">
        <v>178</v>
      </c>
      <c r="B47" s="12" t="s">
        <v>185</v>
      </c>
      <c r="C47" s="9" t="s">
        <v>301</v>
      </c>
      <c r="D47" s="19">
        <f>=IF(Questions_Input!I47="","— not yet answered —",IF(Questions_Input!J47=FALSE,"WBDC and IRT systems trained during SIV. IRT access: active/pending. RAVE access: active/pending."&amp;IF(Questions_Input!O47&lt;&gt;""," | Note: "&amp;Questions_Input!O47,""),"[DEVIATION] Expected: "&amp;Questions_Input!D47&amp;" | Actual: "&amp;Questions_Input!I47&amp;" — Please clarify — deviation from expected answer. Add details in Notes column."&amp;IF(Questions_Input!O47&lt;&gt;""," | Details: "&amp;Questions_Input!O47,"")))</f>
      </c>
    </row>
    <row r="48" ht="50" customHeight="1" spans="1:4" x14ac:dyDescent="0.25">
      <c r="A48" s="12" t="s">
        <v>188</v>
      </c>
      <c r="B48" s="12" t="s">
        <v>189</v>
      </c>
      <c r="C48" s="9" t="s">
        <v>302</v>
      </c>
      <c r="D48" s="19">
        <f>=IF(Questions_Input!I48="","— not yet answered —",IF(Questions_Input!J48=FALSE,"CRA checked and considered facility adequate."&amp;IF(Questions_Input!O48&lt;&gt;""," | Note: "&amp;Questions_Input!O48,""),"[DEVIATION] Expected: "&amp;Questions_Input!D48&amp;" | Actual: "&amp;Questions_Input!I48&amp;" — Please clarify — deviation from expected answer. Add details in Notes column."&amp;IF(Questions_Input!O48&lt;&gt;""," | Details: "&amp;Questions_Input!O48,"")))</f>
      </c>
    </row>
    <row r="49" ht="50" customHeight="1" spans="1:4" x14ac:dyDescent="0.25">
      <c r="A49" s="12" t="s">
        <v>188</v>
      </c>
      <c r="B49" s="12" t="s">
        <v>192</v>
      </c>
      <c r="C49" s="9" t="s">
        <v>302</v>
      </c>
      <c r="D49" s="19">
        <f>=IF(Questions_Input!I49="","— not yet answered —",IF(Questions_Input!J49=FALSE,"Whole Site Team fully activated. E-learning required for: [list]."&amp;IF(Questions_Input!O49&lt;&gt;""," | Note: "&amp;Questions_Input!O49,""),"[DEVIATION] Expected: "&amp;Questions_Input!D49&amp;" | Actual: "&amp;Questions_Input!I49&amp;" — Please clarify — deviation from expected answer. Add details in Notes column."&amp;IF(Questions_Input!O49&lt;&gt;""," | Details: "&amp;Questions_Input!O49,"")))</f>
      </c>
    </row>
    <row r="50" ht="50" customHeight="1" spans="1:4" x14ac:dyDescent="0.25">
      <c r="A50" s="12" t="s">
        <v>188</v>
      </c>
      <c r="B50" s="12" t="s">
        <v>195</v>
      </c>
      <c r="C50" s="9" t="s">
        <v>302</v>
      </c>
      <c r="D50" s="19">
        <f>=IF(Questions_Input!I50="","— not yet answered —",IF(Questions_Input!J50=FALSE,"CRA discussed the details with the site."&amp;IF(Questions_Input!O50&lt;&gt;""," | Note: "&amp;Questions_Input!O50,""),"[DEVIATION] Expected: "&amp;Questions_Input!D50&amp;" | Actual: "&amp;Questions_Input!I50&amp;" — Please clarify — deviation from expected answer. Add details in Notes column."&amp;IF(Questions_Input!O50&lt;&gt;""," | Details: "&amp;Questions_Input!O50,"")))</f>
      </c>
    </row>
    <row r="51" ht="50" customHeight="1" spans="1:4" x14ac:dyDescent="0.25">
      <c r="A51" s="12" t="s">
        <v>188</v>
      </c>
      <c r="B51" s="12" t="s">
        <v>198</v>
      </c>
      <c r="C51" s="9" t="s">
        <v>302</v>
      </c>
      <c r="D51" s="19">
        <f>=IF(Questions_Input!I51="","— not yet answered —",IF(Questions_Input!J51=FALSE,"[As expected — add comment]"&amp;IF(Questions_Input!O51&lt;&gt;""," | Note: "&amp;Questions_Input!O51,""),"[DEVIATION] Expected: "&amp;Questions_Input!D51&amp;" | Actual: "&amp;Questions_Input!I51&amp;" — Please clarify — deviation from expected answer. Add details in Notes column."&amp;IF(Questions_Input!O51&lt;&gt;""," | Details: "&amp;Questions_Input!O51,"")))</f>
      </c>
    </row>
    <row r="52" ht="50" customHeight="1" spans="1:4" x14ac:dyDescent="0.25">
      <c r="A52" s="12" t="s">
        <v>200</v>
      </c>
      <c r="B52" s="12" t="s">
        <v>201</v>
      </c>
      <c r="C52" s="9" t="s">
        <v>303</v>
      </c>
      <c r="D52" s="19">
        <f>=IF(Questions_Input!I52="","— not yet answered —",IF(Questions_Input!J52=FALSE,"ISF reviewed; documents will be provided after IEC Approval and RtE."&amp;IF(Questions_Input!O52&lt;&gt;""," | Note: "&amp;Questions_Input!O52,""),"[DEVIATION] Expected: "&amp;Questions_Input!D52&amp;" | Actual: "&amp;Questions_Input!I52&amp;" — Please clarify — deviation from expected answer. Add details in Notes column."&amp;IF(Questions_Input!O52&lt;&gt;""," | Details: "&amp;Questions_Input!O52,"")))</f>
      </c>
    </row>
    <row r="53" ht="50" customHeight="1" spans="1:4" x14ac:dyDescent="0.25">
      <c r="A53" s="12" t="s">
        <v>200</v>
      </c>
      <c r="B53" s="12" t="s">
        <v>204</v>
      </c>
      <c r="C53" s="9" t="s">
        <v>303</v>
      </c>
      <c r="D53" s="19">
        <f>=IF(Questions_Input!I53="","— not yet answered —",IF(Questions_Input!J53=FALSE,"NA — Will be provided after IEC Approval; PI Signature to be collected."&amp;IF(Questions_Input!O53&lt;&gt;""," | Note: "&amp;Questions_Input!O53,""),"[DEVIATION] Expected: "&amp;Questions_Input!D53&amp;" | Actual: "&amp;Questions_Input!I53&amp;" — Please clarify — deviation from expected answer. Add details in Notes column."&amp;IF(Questions_Input!O53&lt;&gt;""," | Details: "&amp;Questions_Input!O53,"")))</f>
      </c>
    </row>
    <row r="54" ht="50" customHeight="1" spans="1:4" x14ac:dyDescent="0.25">
      <c r="A54" s="12" t="s">
        <v>200</v>
      </c>
      <c r="B54" s="12" t="s">
        <v>207</v>
      </c>
      <c r="C54" s="9" t="s">
        <v>303</v>
      </c>
      <c r="D54" s="19">
        <f>=IF(Questions_Input!I54="","— not yet answered —",IF(Questions_Input!J54=FALSE,"CSA fully executed. SDA collected during SIV."&amp;IF(Questions_Input!O54&lt;&gt;""," | Note: "&amp;Questions_Input!O54,""),"[DEVIATION] Expected: "&amp;Questions_Input!D54&amp;" | Actual: "&amp;Questions_Input!I54&amp;" — Please clarify — deviation from expected answer. Add details in Notes column."&amp;IF(Questions_Input!O54&lt;&gt;""," | Details: "&amp;Questions_Input!O54,"")))</f>
      </c>
    </row>
    <row r="55" ht="50" customHeight="1" spans="1:4" x14ac:dyDescent="0.25">
      <c r="A55" s="12" t="s">
        <v>200</v>
      </c>
      <c r="B55" s="12" t="s">
        <v>210</v>
      </c>
      <c r="C55" s="9" t="s">
        <v>303</v>
      </c>
      <c r="D55" s="19">
        <f>=IF(Questions_Input!I55="","— not yet answered —",IF(Questions_Input!J55=FALSE,"NA — Will be provided after IEC Approval. See 1.3."&amp;IF(Questions_Input!O55&lt;&gt;""," | Note: "&amp;Questions_Input!O55,""),"[DEVIATION] Expected: "&amp;Questions_Input!D55&amp;" | Actual: "&amp;Questions_Input!I55&amp;" — Please clarify — deviation from expected answer. Add details in Notes column."&amp;IF(Questions_Input!O55&lt;&gt;""," | Details: "&amp;Questions_Input!O55,"")))</f>
      </c>
    </row>
    <row r="56" ht="50" customHeight="1" spans="1:4" x14ac:dyDescent="0.25">
      <c r="A56" s="12" t="s">
        <v>200</v>
      </c>
      <c r="B56" s="12" t="s">
        <v>213</v>
      </c>
      <c r="C56" s="9" t="s">
        <v>303</v>
      </c>
      <c r="D56" s="19">
        <f>=IF(Questions_Input!I56="","— not yet answered —",IF(Questions_Input!J56=FALSE,"NA — Will be provided after IEC Approval."&amp;IF(Questions_Input!O56&lt;&gt;""," | Note: "&amp;Questions_Input!O56,""),"[DEVIATION] Expected: "&amp;Questions_Input!D56&amp;" | Actual: "&amp;Questions_Input!I56&amp;" — Please clarify — deviation from expected answer. Add details in Notes column."&amp;IF(Questions_Input!O56&lt;&gt;""," | Details: "&amp;Questions_Input!O56,"")))</f>
      </c>
    </row>
    <row r="57" ht="50" customHeight="1" spans="1:4" x14ac:dyDescent="0.25">
      <c r="A57" s="12" t="s">
        <v>200</v>
      </c>
      <c r="B57" s="12" t="s">
        <v>216</v>
      </c>
      <c r="C57" s="9" t="s">
        <v>303</v>
      </c>
      <c r="D57" s="19">
        <f>=IF(Questions_Input!I57="","— not yet answered —",IF(Questions_Input!J57=FALSE,"NA — Open label study."&amp;IF(Questions_Input!O57&lt;&gt;""," | Note: "&amp;Questions_Input!O57,""),"[DEVIATION] Expected: "&amp;Questions_Input!D57&amp;" | Actual: "&amp;Questions_Input!I57&amp;" — Please clarify — deviation from expected answer. Add details in Notes column."&amp;IF(Questions_Input!O57&lt;&gt;""," | Details: "&amp;Questions_Input!O57,"")))</f>
      </c>
    </row>
    <row r="58" ht="50" customHeight="1" spans="1:4" x14ac:dyDescent="0.25">
      <c r="A58" s="12" t="s">
        <v>200</v>
      </c>
      <c r="B58" s="12" t="s">
        <v>219</v>
      </c>
      <c r="C58" s="9" t="s">
        <v>303</v>
      </c>
      <c r="D58" s="19">
        <f>=IF(Questions_Input!I58="","— not yet answered —",IF(Questions_Input!J58=FALSE,"NA — Electronic CRF is used."&amp;IF(Questions_Input!O58&lt;&gt;""," | Note: "&amp;Questions_Input!O58,""),"[DEVIATION] Expected: "&amp;Questions_Input!D58&amp;" | Actual: "&amp;Questions_Input!I58&amp;" — Please clarify — deviation from expected answer. Add details in Notes column."&amp;IF(Questions_Input!O58&lt;&gt;""," | Details: "&amp;Questions_Input!O58,"")))</f>
      </c>
    </row>
    <row r="59" ht="50" customHeight="1" spans="1:4" x14ac:dyDescent="0.25">
      <c r="A59" s="12" t="s">
        <v>200</v>
      </c>
      <c r="B59" s="12" t="s">
        <v>222</v>
      </c>
      <c r="C59" s="9" t="s">
        <v>303</v>
      </c>
      <c r="D59" s="19">
        <f>=IF(Questions_Input!I59="","— not yet answered —",IF(Questions_Input!J59=FALSE,"No — Patient material will be provided after site RtE."&amp;IF(Questions_Input!O59&lt;&gt;""," | Note: "&amp;Questions_Input!O59,""),"[DEVIATION] Expected: "&amp;Questions_Input!D59&amp;" | Actual: "&amp;Questions_Input!I59&amp;" — Please clarify — deviation from expected answer. Add details in Notes column."&amp;IF(Questions_Input!O59&lt;&gt;""," | Details: "&amp;Questions_Input!O59,"")))</f>
      </c>
    </row>
    <row r="60" ht="50" customHeight="1" spans="1:4" x14ac:dyDescent="0.25">
      <c r="A60" s="12" t="s">
        <v>200</v>
      </c>
      <c r="B60" s="12" t="s">
        <v>225</v>
      </c>
      <c r="C60" s="9" t="s">
        <v>303</v>
      </c>
      <c r="D60" s="19">
        <f>=IF(Questions_Input!I60="","— not yet answered —",IF(Questions_Input!J60=FALSE,"NA — Will be provided after IEC Approval."&amp;IF(Questions_Input!O60&lt;&gt;""," | Note: "&amp;Questions_Input!O60,""),"[DEVIATION] Expected: "&amp;Questions_Input!D60&amp;" | Actual: "&amp;Questions_Input!I60&amp;" — Please clarify — deviation from expected answer. Add details in Notes column."&amp;IF(Questions_Input!O60&lt;&gt;""," | Details: "&amp;Questions_Input!O60,"")))</f>
      </c>
    </row>
    <row r="61" ht="50" customHeight="1" spans="1:4" x14ac:dyDescent="0.25">
      <c r="A61" s="12" t="s">
        <v>200</v>
      </c>
      <c r="B61" s="12" t="s">
        <v>227</v>
      </c>
      <c r="C61" s="9" t="s">
        <v>303</v>
      </c>
      <c r="D61" s="19">
        <f>=IF(Questions_Input!I61="","— not yet answered —",IF(Questions_Input!J61=FALSE,"Study drug shipment triggered once site activated in IRT system."&amp;IF(Questions_Input!O61&lt;&gt;""," | Note: "&amp;Questions_Input!O61,""),"[DEVIATION] Expected: "&amp;Questions_Input!D61&amp;" | Actual: "&amp;Questions_Input!I61&amp;" — Please clarify — deviation from expected answer. Add details in Notes column."&amp;IF(Questions_Input!O61&lt;&gt;""," | Details: "&amp;Questions_Input!O61,"")))</f>
      </c>
    </row>
    <row r="62" ht="50" customHeight="1" spans="1:4" x14ac:dyDescent="0.25">
      <c r="A62" s="12" t="s">
        <v>200</v>
      </c>
      <c r="B62" s="12" t="s">
        <v>230</v>
      </c>
      <c r="C62" s="9" t="s">
        <v>303</v>
      </c>
      <c r="D62" s="19">
        <f>=IF(Questions_Input!I62="","— not yet answered —",IF(Questions_Input!J62=FALSE,"[As expected — add comment]"&amp;IF(Questions_Input!O62&lt;&gt;""," | Note: "&amp;Questions_Input!O62,""),"[DEVIATION] Expected: "&amp;Questions_Input!D62&amp;" | Actual: "&amp;Questions_Input!I62&amp;" — Please clarify — deviation from expected answer. Add details in Notes column."&amp;IF(Questions_Input!O62&lt;&gt;""," | Details: "&amp;Questions_Input!O62,"")))</f>
      </c>
    </row>
    <row r="63" ht="50" customHeight="1" spans="1:4" x14ac:dyDescent="0.25">
      <c r="A63" s="12" t="s">
        <v>232</v>
      </c>
      <c r="B63" s="12" t="s">
        <v>233</v>
      </c>
      <c r="C63" s="9" t="s">
        <v>304</v>
      </c>
      <c r="D63" s="19">
        <f>=IF(Questions_Input!I63="","— not yet answered —",IF(Questions_Input!J63=FALSE,"CSA completed. CRA will have access to all needed source data."&amp;IF(Questions_Input!O63&lt;&gt;""," | Note: "&amp;Questions_Input!O63,""),"[DEVIATION] Expected: "&amp;Questions_Input!D63&amp;" | Actual: "&amp;Questions_Input!I63&amp;" — Please clarify — deviation from expected answer. Add details in Notes column."&amp;IF(Questions_Input!O63&lt;&gt;""," | Details: "&amp;Questions_Input!O63,"")))</f>
      </c>
    </row>
    <row r="64" ht="50" customHeight="1" spans="1:4" x14ac:dyDescent="0.25">
      <c r="A64" s="12" t="s">
        <v>232</v>
      </c>
      <c r="B64" s="12" t="s">
        <v>236</v>
      </c>
      <c r="C64" s="9" t="s">
        <v>304</v>
      </c>
      <c r="D64" s="19">
        <f>=IF(Questions_Input!I64="","— not yet answered —",IF(Questions_Input!J64=FALSE,"PI is fully aware of responsibility."&amp;IF(Questions_Input!O64&lt;&gt;""," | Note: "&amp;Questions_Input!O64,""),"[DEVIATION] Expected: "&amp;Questions_Input!D64&amp;" | Actual: "&amp;Questions_Input!I64&amp;" — Please clarify — deviation from expected answer. Add details in Notes column."&amp;IF(Questions_Input!O64&lt;&gt;""," | Details: "&amp;Questions_Input!O64,"")))</f>
      </c>
    </row>
    <row r="65" ht="50" customHeight="1" spans="1:4" x14ac:dyDescent="0.25">
      <c r="A65" s="12" t="s">
        <v>232</v>
      </c>
      <c r="B65" s="12" t="s">
        <v>239</v>
      </c>
      <c r="C65" s="9" t="s">
        <v>304</v>
      </c>
      <c r="D65" s="19">
        <f>=IF(Questions_Input!I65="","— not yet answered —",IF(Questions_Input!J65=FALSE,"DOR completed during SIV. Scan collected and will be filed in eTMF."&amp;IF(Questions_Input!O65&lt;&gt;""," | Note: "&amp;Questions_Input!O65,""),"[DEVIATION] Expected: "&amp;Questions_Input!D65&amp;" | Actual: "&amp;Questions_Input!I65&amp;" — Please clarify — deviation from expected answer. Add details in Notes column."&amp;IF(Questions_Input!O65&lt;&gt;""," | Details: "&amp;Questions_Input!O65,"")))</f>
      </c>
    </row>
    <row r="66" ht="50" customHeight="1" spans="1:4" x14ac:dyDescent="0.25">
      <c r="A66" s="12" t="s">
        <v>232</v>
      </c>
      <c r="B66" s="12" t="s">
        <v>242</v>
      </c>
      <c r="C66" s="9" t="s">
        <v>304</v>
      </c>
      <c r="D66" s="19">
        <f>=IF(Questions_Input!I66="","— not yet answered —",IF(Questions_Input!J66=FALSE,"[As expected — add comment]"&amp;IF(Questions_Input!O66&lt;&gt;""," | Note: "&amp;Questions_Input!O66,""),"[DEVIATION] Expected: "&amp;Questions_Input!D66&amp;" | Actual: "&amp;Questions_Input!I66&amp;" — Please clarify — deviation from expected answer. Add details in Notes column."&amp;IF(Questions_Input!O66&lt;&gt;""," | Details: "&amp;Questions_Input!O66,"")))</f>
      </c>
    </row>
    <row r="67" ht="50" customHeight="1" spans="1:4" x14ac:dyDescent="0.25">
      <c r="A67" s="12" t="s">
        <v>232</v>
      </c>
      <c r="B67" s="12" t="s">
        <v>244</v>
      </c>
      <c r="C67" s="9" t="s">
        <v>304</v>
      </c>
      <c r="D67" s="19">
        <f>=IF(Questions_Input!I67="","— not yet answered —",IF(Questions_Input!J67=FALSE,"Site archive will be X."&amp;IF(Questions_Input!O67&lt;&gt;""," | Note: "&amp;Questions_Input!O67,""),"[DEVIATION] Expected: "&amp;Questions_Input!D67&amp;" | Actual: "&amp;Questions_Input!I67&amp;" — Please clarify — deviation from expected answer. Add details in Notes column."&amp;IF(Questions_Input!O67&lt;&gt;""," | Details: "&amp;Questions_Input!O67,"")))</f>
      </c>
    </row>
    <row r="68" ht="50" customHeight="1" spans="1:4" x14ac:dyDescent="0.25">
      <c r="A68" s="12" t="s">
        <v>232</v>
      </c>
      <c r="B68" s="12" t="s">
        <v>247</v>
      </c>
      <c r="C68" s="9" t="s">
        <v>304</v>
      </c>
      <c r="D68" s="19">
        <f>=IF(Questions_Input!I68="","— not yet answered —",IF(Questions_Input!J68=FALSE,"FDFs completed and collected from PI/SI."&amp;IF(Questions_Input!O68&lt;&gt;""," | Note: "&amp;Questions_Input!O68,""),"[DEVIATION] Expected: "&amp;Questions_Input!D68&amp;" | Actual: "&amp;Questions_Input!I68&amp;" — Please clarify — deviation from expected answer. Add details in Notes column."&amp;IF(Questions_Input!O68&lt;&gt;""," | Details: "&amp;Questions_Input!O68,"")))</f>
      </c>
    </row>
    <row r="69" ht="50" customHeight="1" spans="1:4" x14ac:dyDescent="0.25">
      <c r="A69" s="12" t="s">
        <v>232</v>
      </c>
      <c r="B69" s="12" t="s">
        <v>250</v>
      </c>
      <c r="C69" s="9" t="s">
        <v>304</v>
      </c>
      <c r="D69" s="19">
        <f>=IF(Questions_Input!I69="","— not yet answered —",IF(Questions_Input!J69=FALSE,"Site will inform CRA/LSAD immediately upon receiving any audit/inspection notification."&amp;IF(Questions_Input!O69&lt;&gt;""," | Note: "&amp;Questions_Input!O69,""),"[DEVIATION] Expected: "&amp;Questions_Input!D69&amp;" | Actual: "&amp;Questions_Input!I69&amp;" — Please clarify — deviation from expected answer. Add details in Notes column."&amp;IF(Questions_Input!O69&lt;&gt;""," | Details: "&amp;Questions_Input!O69,"")))</f>
      </c>
    </row>
    <row r="70" ht="50" customHeight="1" spans="1:4" x14ac:dyDescent="0.25">
      <c r="A70" s="12" t="s">
        <v>232</v>
      </c>
      <c r="B70" s="12" t="s">
        <v>253</v>
      </c>
      <c r="C70" s="9" t="s">
        <v>304</v>
      </c>
      <c r="D70" s="19">
        <f>=IF(Questions_Input!I70="","— not yet answered —",IF(Questions_Input!J70=FALSE,"ISF reviewed during SIV including AZ contact information."&amp;IF(Questions_Input!O70&lt;&gt;""," | Note: "&amp;Questions_Input!O70,""),"[DEVIATION] Expected: "&amp;Questions_Input!D70&amp;" | Actual: "&amp;Questions_Input!I70&amp;" — Please clarify — deviation from expected answer. Add details in Notes column."&amp;IF(Questions_Input!O70&lt;&gt;""," | Details: "&amp;Questions_Input!O70,"")))</f>
      </c>
    </row>
    <row r="71" ht="50" customHeight="1" spans="1:4" x14ac:dyDescent="0.25">
      <c r="A71" s="12" t="s">
        <v>232</v>
      </c>
      <c r="B71" s="12" t="s">
        <v>256</v>
      </c>
      <c r="C71" s="9" t="s">
        <v>304</v>
      </c>
      <c r="D71" s="19">
        <f>=IF(Questions_Input!I71="","— not yet answered —",IF(Questions_Input!J71=FALSE,"[As expected — add comment]"&amp;IF(Questions_Input!O71&lt;&gt;""," | Note: "&amp;Questions_Input!O71,""),"[DEVIATION] Expected: "&amp;Questions_Input!D71&amp;" | Actual: "&amp;Questions_Input!I71&amp;" — Please clarify — deviation from expected answer. Add details in Notes column."&amp;IF(Questions_Input!O71&lt;&gt;""," | Details: "&amp;Questions_Input!O71,"")))</f>
      </c>
    </row>
    <row r="72" ht="50" customHeight="1" spans="1:4" x14ac:dyDescent="0.25">
      <c r="A72" s="12" t="s">
        <v>232</v>
      </c>
      <c r="B72" s="12" t="s">
        <v>258</v>
      </c>
      <c r="C72" s="9" t="s">
        <v>304</v>
      </c>
      <c r="D72" s="19">
        <f>=IF(Questions_Input!I72="","— not yet answered —",IF(Questions_Input!J72=FALSE,"[As expected — add comment]"&amp;IF(Questions_Input!O72&lt;&gt;""," | Note: "&amp;Questions_Input!O72,""),"[DEVIATION] Expected: "&amp;Questions_Input!D72&amp;" | Actual: "&amp;Questions_Input!I72&amp;" — Please clarify — deviation from expected answer. Add details in Notes column."&amp;IF(Questions_Input!O72&lt;&gt;""," | Details: "&amp;Questions_Input!O72,"")))</f>
      </c>
    </row>
    <row r="73" ht="50" customHeight="1" spans="1:4" x14ac:dyDescent="0.25">
      <c r="A73" s="12" t="s">
        <v>232</v>
      </c>
      <c r="B73" s="12" t="s">
        <v>260</v>
      </c>
      <c r="C73" s="9" t="s">
        <v>304</v>
      </c>
      <c r="D73" s="19">
        <f>=IF(Questions_Input!I73="","— not yet answered —",IF(Questions_Input!J73=FALSE,"New safety information via Veeva Site Connect; PI and SI must acknowledge electronically."&amp;IF(Questions_Input!O73&lt;&gt;""," | Note: "&amp;Questions_Input!O73,""),"[DEVIATION] Expected: "&amp;Questions_Input!D73&amp;" | Actual: "&amp;Questions_Input!I73&amp;" — Please clarify — deviation from expected answer. Add details in Notes column."&amp;IF(Questions_Input!O73&lt;&gt;""," | Details: "&amp;Questions_Input!O73,"")))</f>
      </c>
    </row>
    <row r="74" ht="50" customHeight="1" spans="1:4" x14ac:dyDescent="0.25">
      <c r="A74" s="12" t="s">
        <v>232</v>
      </c>
      <c r="B74" s="12" t="s">
        <v>263</v>
      </c>
      <c r="C74" s="9" t="s">
        <v>304</v>
      </c>
      <c r="D74" s="19">
        <f>=IF(Questions_Input!I74="","— not yet answered —",IF(Questions_Input!J74=FALSE,"Tools: MonTE (IMP temp tracking), Signant Health, IRT &amp; eCOA/ePRO, iMediData Rave EDC, IOVIA Central Lab, ICON Adjudication, Teckro."&amp;IF(Questions_Input!O74&lt;&gt;""," | Note: "&amp;Questions_Input!O74,""),"[DEVIATION] Expected: "&amp;Questions_Input!D74&amp;" | Actual: "&amp;Questions_Input!I74&amp;" — Please clarify — deviation from expected answer. Add details in Notes column."&amp;IF(Questions_Input!O74&lt;&gt;""," | Details: "&amp;Questions_Input!O74,"")))</f>
      </c>
    </row>
    <row r="75" ht="50" customHeight="1" spans="1:4" x14ac:dyDescent="0.25">
      <c r="A75" s="12" t="s">
        <v>232</v>
      </c>
      <c r="B75" s="12" t="s">
        <v>266</v>
      </c>
      <c r="C75" s="9" t="s">
        <v>304</v>
      </c>
      <c r="D75" s="19">
        <f>=IF(Questions_Input!I75="","— not yet answered —",IF(Questions_Input!J75=FALSE,"[As expected — add comment]"&amp;IF(Questions_Input!O75&lt;&gt;""," | Note: "&amp;Questions_Input!O75,""),"[DEVIATION] Expected: "&amp;Questions_Input!D75&amp;" | Actual: "&amp;Questions_Input!I75&amp;" — Please clarify — deviation from expected answer. Add details in Notes column."&amp;IF(Questions_Input!O75&lt;&gt;""," | Details: "&amp;Questions_Input!O75,"")))</f>
      </c>
    </row>
  </sheetData>
  <mergeCells count="1">
    <mergeCell ref="A1:D1"/>
  </mergeCells>
  <conditionalFormatting sqref="A3:D75">
    <cfRule type="expression" dxfId="6" priority="1">
      <formula>Questions_Input!J3=TRUE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Admin_Info</vt:lpstr>
      <vt:lpstr>Questions_Input</vt:lpstr>
      <vt:lpstr>Issue_Log</vt:lpstr>
      <vt:lpstr>Observation_Log</vt:lpstr>
      <vt:lpstr>Follow_Up_Items</vt:lpstr>
      <vt:lpstr>Report_Comments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 Report Generator</dc:creator>
  <dc:title/>
  <dc:subject/>
  <dc:description/>
  <cp:keywords/>
  <cp:category/>
  <cp:lastModifiedBy>Unknown</cp:lastModifiedBy>
  <dcterms:created xsi:type="dcterms:W3CDTF">2026-06-26T20:08:04Z</dcterms:created>
  <dcterms:modified xsi:type="dcterms:W3CDTF">2026-06-26T20:08:04Z</dcterms:modified>
</cp:coreProperties>
</file>
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dmin_Info" state="visible" r:id="rId4"/>
    <sheet sheetId="2" name="Questions_Input" state="visible" r:id="rId5"/>
    <sheet sheetId="3" name="Issue_Log" state="visible" r:id="rId6"/>
    <sheet sheetId="4" name="Observation_Log" state="visible" r:id="rId7"/>
    <sheet sheetId="5" name="Follow_Up_Items" state="visible" r:id="rId8"/>
    <sheet sheetId="6" name="Report_Comments" state="visible" r:id="rId9"/>
  </sheets>
  <calcPr calcId="171027"/>
</workbook>
</file>

<file path=xl/sharedStrings.xml><?xml version="1.0" encoding="utf-8"?>
<sst xmlns="http://schemas.openxmlformats.org/spreadsheetml/2006/main" count="1499" uniqueCount="301">
  <si>
    <t>AstraZeneca — Initiation Visit Report</t>
  </si>
  <si>
    <t>Version 18.0  |  Form Doc Number: TMP-0010246  |  Parent Doc Number: SOP-0066820</t>
  </si>
  <si>
    <t>Study Code</t>
  </si>
  <si>
    <t>Eliminate-2 (D7261C00005)</t>
  </si>
  <si>
    <t>Study Site Number</t>
  </si>
  <si>
    <t/>
  </si>
  <si>
    <t>Principal Investigator</t>
  </si>
  <si>
    <t>Study Site Address</t>
  </si>
  <si>
    <t>Monitor Name</t>
  </si>
  <si>
    <t>Visit Date(s)</t>
  </si>
  <si>
    <t>Visit Conducted</t>
  </si>
  <si>
    <t>In Person</t>
  </si>
  <si>
    <t>Reason for remote (if applicable)</t>
  </si>
  <si>
    <t>Monitoring Event Reviewed?</t>
  </si>
  <si>
    <t>Yes</t>
  </si>
  <si>
    <t>Reviewed By</t>
  </si>
  <si>
    <t>Date Review Completed</t>
  </si>
  <si>
    <t>Report Author</t>
  </si>
  <si>
    <t>Report Status</t>
  </si>
  <si>
    <t>Draft</t>
  </si>
  <si>
    <t>Personnel Present</t>
  </si>
  <si>
    <t>Name</t>
  </si>
  <si>
    <t>Role / Function</t>
  </si>
  <si>
    <t>Present (Y/N)</t>
  </si>
  <si>
    <t>Principal Investigator (PI)</t>
  </si>
  <si>
    <t>Sub-Investigator (Sub-I)</t>
  </si>
  <si>
    <t>Study Coordinator (SC)</t>
  </si>
  <si>
    <t>Study Nurse</t>
  </si>
  <si>
    <t>MSLM</t>
  </si>
  <si>
    <t>LSAD</t>
  </si>
  <si>
    <t>Lead-CRA</t>
  </si>
  <si>
    <t>Other</t>
  </si>
  <si>
    <t>Section</t>
  </si>
  <si>
    <t>Q ID</t>
  </si>
  <si>
    <t>Question Text</t>
  </si>
  <si>
    <t>Expected</t>
  </si>
  <si>
    <t>Has HOLD</t>
  </si>
  <si>
    <t>Has ISS</t>
  </si>
  <si>
    <t>Has ESC</t>
  </si>
  <si>
    <t>YOUR ANSWER ▼</t>
  </si>
  <si>
    <t>IS_DEVIATION</t>
  </si>
  <si>
    <t>Placeholder: Date 1</t>
  </si>
  <si>
    <t>Placeholder: Date 2</t>
  </si>
  <si>
    <t>Placeholder: Name</t>
  </si>
  <si>
    <t>Placeholder: Version/Ref</t>
  </si>
  <si>
    <t>Notes / Comments</t>
  </si>
  <si>
    <t>1</t>
  </si>
  <si>
    <t>1.1</t>
  </si>
  <si>
    <t>Study rationale and objectives?</t>
  </si>
  <si>
    <t>The objective of this "pre-approval" SIV was conducted for training purposes only.</t>
  </si>
  <si>
    <t>1.2</t>
  </si>
  <si>
    <t>Clinical Study Protocol requirements, including adherence thereto?</t>
  </si>
  <si>
    <t>Training was provided according to SIV PPT V.x.x. dated YYYY MMM DD and CSP V.X.X.</t>
  </si>
  <si>
    <t>1.3</t>
  </si>
  <si>
    <t>Key elements of the Investigator's Brochure?</t>
  </si>
  <si>
    <t>MSLM/CRA/LSAD discussed these with the PI/SI/SC.</t>
  </si>
  <si>
    <t>1.4</t>
  </si>
  <si>
    <t>Study timelines?</t>
  </si>
  <si>
    <t>PI/SI confirmed enrollment of 14 patients; first screening/randomization planned YYYY MM DD.</t>
  </si>
  <si>
    <t>1.5</t>
  </si>
  <si>
    <t>Study assessments and visit schedule?</t>
  </si>
  <si>
    <t>CRA discussed in detail according to CSP V x.x.</t>
  </si>
  <si>
    <t>1.6</t>
  </si>
  <si>
    <t>Procedures for screening, enrolment, randomisation and premature discontinuation?</t>
  </si>
  <si>
    <t>1.7</t>
  </si>
  <si>
    <t>Inclusion/exclusion criteria?</t>
  </si>
  <si>
    <t>1.8</t>
  </si>
  <si>
    <t>Subject information and consent requirements?</t>
  </si>
  <si>
    <t>CRA discussed in detail according to CSP V x.x. See also 1.1 regarding Pre-Approval nature.</t>
  </si>
  <si>
    <t>1.9</t>
  </si>
  <si>
    <t>Adverse Event reporting?</t>
  </si>
  <si>
    <t>CRA discussed AE reporting procedures in detail according to CSP V x.x.</t>
  </si>
  <si>
    <t>1.10</t>
  </si>
  <si>
    <t>SAE reporting, follow up process and causality?</t>
  </si>
  <si>
    <t>1.11</t>
  </si>
  <si>
    <t>Pregnancy, Overdose, Medication Error, Drug Misuse &amp; Abuse procedures?</t>
  </si>
  <si>
    <t>HIGH risk for theft discussed — site to notify Monitor immediately, no later than 24h.</t>
  </si>
  <si>
    <t>1.12</t>
  </si>
  <si>
    <t>Doses and study drug regimens including disallowed/concomitant medication?</t>
  </si>
  <si>
    <t>MSLM, CRA, LSAD discussed in detail and site is in agreement.</t>
  </si>
  <si>
    <t>1.13</t>
  </si>
  <si>
    <t>Procedures for study drug handling?</t>
  </si>
  <si>
    <t>MSLM, CRA, LSAD discussed in detail. See also 1.1 Pre-Approval nature.</t>
  </si>
  <si>
    <t>1.14</t>
  </si>
  <si>
    <t>Emergency unblinding procedures, if applicable?</t>
  </si>
  <si>
    <t>Yes/NA</t>
  </si>
  <si>
    <t>NA — This study is open label.</t>
  </si>
  <si>
    <t>1.14.1</t>
  </si>
  <si>
    <t>PI delegated Sub-I for Emergency Unblinding on DoR Log?</t>
  </si>
  <si>
    <t>1.15</t>
  </si>
  <si>
    <t>Requirements for the content of medical records?</t>
  </si>
  <si>
    <t>CRA discussed in detail; site is in agreement.</t>
  </si>
  <si>
    <t>1.16</t>
  </si>
  <si>
    <t>Procedures for sample collection, processing, labelling, storage, tracking and shipping?</t>
  </si>
  <si>
    <t>CRA discussed with the site in detail.</t>
  </si>
  <si>
    <t>1.17</t>
  </si>
  <si>
    <t>Requirements for risk samples, if applicable?</t>
  </si>
  <si>
    <t>NA.</t>
  </si>
  <si>
    <t>1.18</t>
  </si>
  <si>
    <t>Equipment including maintenance and calibration?</t>
  </si>
  <si>
    <t>All certificates and calibrations are in place and were reviewed.</t>
  </si>
  <si>
    <t>1.19</t>
  </si>
  <si>
    <t>Data recording (paper/eCRF), data query requirements, timelines and procedures?</t>
  </si>
  <si>
    <t>Site is fully trained and accesses are working/were requested.</t>
  </si>
  <si>
    <t>1.20</t>
  </si>
  <si>
    <t>Obligation to inform sponsor of urgent safety measures?</t>
  </si>
  <si>
    <t>Site to immediately notify Study Clinical Lead and Clinical Team.</t>
  </si>
  <si>
    <t>1.21</t>
  </si>
  <si>
    <t>Obligation to report non-compliance/serious breach?</t>
  </si>
  <si>
    <t>1.22</t>
  </si>
  <si>
    <t>Comments regarding Training of Study Site Personnel.</t>
  </si>
  <si>
    <t>The listed Personnel was fully trained. ICF versions, IP Handling Manual, Biological Sample Handling, ISF and Vendors discussed.</t>
  </si>
  <si>
    <t>2</t>
  </si>
  <si>
    <t>2.1</t>
  </si>
  <si>
    <t>Were the number of subjects (overall and per site) discussed with the site?</t>
  </si>
  <si>
    <t>PI confirmed 14 patients; first screening/randomization planned YYYY MM DD.</t>
  </si>
  <si>
    <t>2.2</t>
  </si>
  <si>
    <t>Were advertisements for subject recruitment (if applicable) discussed?</t>
  </si>
  <si>
    <t>See 1.1 regarding Pre-Approval nature of this visit.</t>
  </si>
  <si>
    <t>2.3</t>
  </si>
  <si>
    <t>Were materials (Thank You cards, Ongoing Communications, Trial Results Summaries) discussed?</t>
  </si>
  <si>
    <t>CRA/LSAD discussed patient-reimbursement and retention. Thank You Cards in German discussed.</t>
  </si>
  <si>
    <t>3</t>
  </si>
  <si>
    <t>3.1</t>
  </si>
  <si>
    <t>Were responsibilities for obtaining approval for updated CSP, ICFs and patient facing materials discussed?</t>
  </si>
  <si>
    <t>Site was informed no patient procedures before sponsor approval via "Ready To Enrollment".</t>
  </si>
  <si>
    <t>3.2</t>
  </si>
  <si>
    <t>Were responsibilities for reporting ISIs, safety information and progress reports to IRB/IEC discussed?</t>
  </si>
  <si>
    <t>NA — Sponsor will report accordingly and inform sites.</t>
  </si>
  <si>
    <t>3.3</t>
  </si>
  <si>
    <t>Comments regarding IRB/IEC and Regulatory Authority Responsibilities.</t>
  </si>
  <si>
    <t>Please refer to 3.2.</t>
  </si>
  <si>
    <t>4</t>
  </si>
  <si>
    <t>4.1</t>
  </si>
  <si>
    <t>Were remote monitoring visits discussed? Is key contact agreed?</t>
  </si>
  <si>
    <t>CRA discussed REMs regularly; main SC is contact; medical queries forwarded to PI/SI.</t>
  </si>
  <si>
    <t>4.2</t>
  </si>
  <si>
    <t>Are Investigators aware to contact monitor at time of enrolment of first subject?</t>
  </si>
  <si>
    <t>Site is aware; first RMV after first patient screened.</t>
  </si>
  <si>
    <t>4.3</t>
  </si>
  <si>
    <t>Were on-site monitoring procedures and frequency discussed?</t>
  </si>
  <si>
    <t>CRA discussed frequency; site is in agreement.</t>
  </si>
  <si>
    <t>4.4</t>
  </si>
  <si>
    <t>Were remote monitoring procedures and centralized monitoring discussed?</t>
  </si>
  <si>
    <t>CRA discussed in detail. Site is in agreement.</t>
  </si>
  <si>
    <t>4.5</t>
  </si>
  <si>
    <t>Were SDV requirements and access to original records discussed?</t>
  </si>
  <si>
    <t>Site using printouts/EMR; CRA will get access according to 21 CFR Part 11.</t>
  </si>
  <si>
    <t>4.6</t>
  </si>
  <si>
    <t>If EMR is used: confirmed local or remote CRA access?</t>
  </si>
  <si>
    <t>CRA will get access only to study patients according to 21 CFR Part 11.</t>
  </si>
  <si>
    <t>4.7</t>
  </si>
  <si>
    <t>Are Local Laboratory reference ranges available and up to date?</t>
  </si>
  <si>
    <t>NA — Site using local lab for quick check; Central Lab used in general.</t>
  </si>
  <si>
    <t>4.8</t>
  </si>
  <si>
    <t>Comments regarding Monitoring and Source Data Verification.</t>
  </si>
  <si>
    <t>CRA discussed all applicable study patient data need to be reviewed on an ongoing basis.</t>
  </si>
  <si>
    <t>5</t>
  </si>
  <si>
    <t>5.1</t>
  </si>
  <si>
    <t>Is the study drug storage facility considered adequate (security, temperature)?</t>
  </si>
  <si>
    <t>CRA checked the facility and considered it adequate.</t>
  </si>
  <si>
    <t>5.2</t>
  </si>
  <si>
    <t>Comments regarding Study Drug.</t>
  </si>
  <si>
    <t>See 1.1. IP restrictions communicated. Initial IP Shipment triggered once IP Greenlight activities completed. Site must inform LST prior any new patient screening/randomization.</t>
  </si>
  <si>
    <t>6</t>
  </si>
  <si>
    <t>6.1</t>
  </si>
  <si>
    <t>Is there an appropriate storage area for samples (security, temperature)?</t>
  </si>
  <si>
    <t>Lab Samples will be stored in secured fridge/freezer at -20°C and/or -80°C.</t>
  </si>
  <si>
    <t>6.2</t>
  </si>
  <si>
    <t>Have the required accreditation(s)/licenses been collected?</t>
  </si>
  <si>
    <t>CRA checked during SIV.</t>
  </si>
  <si>
    <t>6.3</t>
  </si>
  <si>
    <t>Comments regarding Human Biological Samples.</t>
  </si>
  <si>
    <t>NA — Central Lab will be used. Main SC is IATA trained. AZ HbS Log Vx to be used.</t>
  </si>
  <si>
    <t>7</t>
  </si>
  <si>
    <t>7.1</t>
  </si>
  <si>
    <t>Is the set-up of WBDC, Randomization and RTSM/IRT/IxRS at the site complete?</t>
  </si>
  <si>
    <t>All accesses provided. SC activated; PI/SI accesses pending after Pre-Approval SIV.</t>
  </si>
  <si>
    <t>7.2</t>
  </si>
  <si>
    <t>Is WBDC, RTSM training complete and access confirmed?</t>
  </si>
  <si>
    <t>The whole Site Team is fully activated.</t>
  </si>
  <si>
    <t>7.3</t>
  </si>
  <si>
    <t>Comments regarding WBDC / Randomization and Trial Supply Management.</t>
  </si>
  <si>
    <t>WBDC and IRT systems trained during SIV. IRT access: active/pending. RAVE access: active/pending.</t>
  </si>
  <si>
    <t>8</t>
  </si>
  <si>
    <t>8.1</t>
  </si>
  <si>
    <t>Is the ePRO storage facility considered adequate?</t>
  </si>
  <si>
    <t>CRA checked and considered facility adequate.</t>
  </si>
  <si>
    <t>8.2</t>
  </si>
  <si>
    <t>Is ePRO training complete and access confirmed?</t>
  </si>
  <si>
    <t>Whole Site Team fully activated. E-learning required for: [list].</t>
  </si>
  <si>
    <t>8.3</t>
  </si>
  <si>
    <t>Were contingency plans for ePRO system failure discussed?</t>
  </si>
  <si>
    <t>CRA discussed the details with the site.</t>
  </si>
  <si>
    <t>8.4</t>
  </si>
  <si>
    <t>Comments regarding Electronic Patient Reported Outcome.</t>
  </si>
  <si>
    <t>9</t>
  </si>
  <si>
    <t>9.1</t>
  </si>
  <si>
    <t>Is an up-to-date Investigator Study File available and appropriately stored?</t>
  </si>
  <si>
    <t>ISF reviewed; documents will be provided after IEC Approval and RtE.</t>
  </si>
  <si>
    <t>9.2</t>
  </si>
  <si>
    <t>Is a signed Clinical Study Protocol available and appropriately stored?</t>
  </si>
  <si>
    <t>NA — Will be provided after IEC Approval; PI Signature to be collected.</t>
  </si>
  <si>
    <t>9.3</t>
  </si>
  <si>
    <t>Are signed CSA and Source Data Agreement available and appropriately stored?</t>
  </si>
  <si>
    <t>CSA fully executed. SDA collected during SIV.</t>
  </si>
  <si>
    <t>9.4</t>
  </si>
  <si>
    <t>Is a current Investigator Brochure available and appropriately stored?</t>
  </si>
  <si>
    <t>NA — Will be provided after IEC Approval. See 1.3.</t>
  </si>
  <si>
    <t>9.5</t>
  </si>
  <si>
    <t>Are ePRO supplies and user instructions available and stored?</t>
  </si>
  <si>
    <t>NA — Will be provided after IEC Approval.</t>
  </si>
  <si>
    <t>9.6</t>
  </si>
  <si>
    <t>Are Emergency unblinding tools available (if applicable)?</t>
  </si>
  <si>
    <t>NA — Open label study.</t>
  </si>
  <si>
    <t>9.7</t>
  </si>
  <si>
    <t>Are paper CRFs available and appropriately stored (if applicable)?</t>
  </si>
  <si>
    <t>NA — Electronic CRF is used.</t>
  </si>
  <si>
    <t>9.8</t>
  </si>
  <si>
    <t>Are subject diary cards, questionnaires, participation cards available and IRB/IEC-approved?</t>
  </si>
  <si>
    <t>No — Patient material will be provided after site RtE.</t>
  </si>
  <si>
    <t>9.9</t>
  </si>
  <si>
    <t>Are laboratory supplies available and appropriately stored?</t>
  </si>
  <si>
    <t>9.10</t>
  </si>
  <si>
    <t>Is Study Drug available and appropriately stored?</t>
  </si>
  <si>
    <t>Study drug shipment triggered once site activated in IRT system.</t>
  </si>
  <si>
    <t>9.11</t>
  </si>
  <si>
    <t>Comments regarding Study Materials and Supplies.</t>
  </si>
  <si>
    <t>10</t>
  </si>
  <si>
    <t>10.1</t>
  </si>
  <si>
    <t>Were CSA requirements and Source Data location discussed?</t>
  </si>
  <si>
    <t>CSA completed. CRA will have access to all needed source data.</t>
  </si>
  <si>
    <t>10.2</t>
  </si>
  <si>
    <t>Does PI understand responsibility to supervise delegated duties?</t>
  </si>
  <si>
    <t>PI is fully aware of responsibility.</t>
  </si>
  <si>
    <t>10.3</t>
  </si>
  <si>
    <t>Was delegation of responsibilities within Study Site Team discussed?</t>
  </si>
  <si>
    <t>DOR completed during SIV. Scan collected and will be filed in eTMF.</t>
  </si>
  <si>
    <t>10.4</t>
  </si>
  <si>
    <t>Were ISF requirements and responsibilities discussed?</t>
  </si>
  <si>
    <t>10.5</t>
  </si>
  <si>
    <t>Were archiving responsibilities discussed?</t>
  </si>
  <si>
    <t>Site archive will be X.</t>
  </si>
  <si>
    <t>10.6</t>
  </si>
  <si>
    <t>Were Financial Disclosure requirements discussed?</t>
  </si>
  <si>
    <t>FDFs completed and collected from PI/SI.</t>
  </si>
  <si>
    <t>10.7</t>
  </si>
  <si>
    <t>Were potential audit/inspection responsibilities discussed?</t>
  </si>
  <si>
    <t>Site will inform CRA/LSAD immediately upon receiving any audit/inspection notification.</t>
  </si>
  <si>
    <t>10.8</t>
  </si>
  <si>
    <t>Was site provided with AstraZeneca contact information?</t>
  </si>
  <si>
    <t>ISF reviewed during SIV including AZ contact information.</t>
  </si>
  <si>
    <t>10.9</t>
  </si>
  <si>
    <t>Was site provided with WBDC IS Service Desk contact information?</t>
  </si>
  <si>
    <t>10.10</t>
  </si>
  <si>
    <t>Was site provided with ePRO Service Provider Helpdesk contact?</t>
  </si>
  <si>
    <t>10.11</t>
  </si>
  <si>
    <t>Was Sponsor obligation to provide new Safety Information discussed?</t>
  </si>
  <si>
    <t>New safety information via Veeva Site Connect; PI and SI must acknowledge electronically.</t>
  </si>
  <si>
    <t>10.12</t>
  </si>
  <si>
    <t>Were other digital or electronic tools used in the study discussed?</t>
  </si>
  <si>
    <t>Tools: MonTE (IMP temp tracking), Signant Health, IRT &amp; eCOA/ePRO, iMediData Rave EDC, IOVIA Central Lab, ICON Adjudication, Teckro.</t>
  </si>
  <si>
    <t>10.13</t>
  </si>
  <si>
    <t>Comments regarding Other Study Requirements.</t>
  </si>
  <si>
    <t>Issue Log</t>
  </si>
  <si>
    <t>Issue No.</t>
  </si>
  <si>
    <t>Subject ID</t>
  </si>
  <si>
    <t>Category</t>
  </si>
  <si>
    <t>Summary</t>
  </si>
  <si>
    <t>Created By</t>
  </si>
  <si>
    <t>Status</t>
  </si>
  <si>
    <t>Issue Description</t>
  </si>
  <si>
    <t>Action Description</t>
  </si>
  <si>
    <t>Action Due Date</t>
  </si>
  <si>
    <t>Observation Log</t>
  </si>
  <si>
    <t>Obs No.</t>
  </si>
  <si>
    <t>Priority</t>
  </si>
  <si>
    <t>Date Identified</t>
  </si>
  <si>
    <t>Description</t>
  </si>
  <si>
    <t>Actions Description</t>
  </si>
  <si>
    <t>Actions Due Date</t>
  </si>
  <si>
    <t>Updates</t>
  </si>
  <si>
    <t>Actual Completion Date</t>
  </si>
  <si>
    <t>Follow Up Items</t>
  </si>
  <si>
    <t>Action Item</t>
  </si>
  <si>
    <t>Responsible Party</t>
  </si>
  <si>
    <t>Date Resolved</t>
  </si>
  <si>
    <t>Comments</t>
  </si>
  <si>
    <t>Report Comments — Auto-generated from Questions_Input (do not edit this sheet directly)</t>
  </si>
  <si>
    <t>Section Title</t>
  </si>
  <si>
    <t>Generated Comment</t>
  </si>
  <si>
    <t>Training of Study Personnel</t>
  </si>
  <si>
    <t>Subject Requirements and Procedures</t>
  </si>
  <si>
    <t>IRB/IEC and Regulatory Authority Responsibilities</t>
  </si>
  <si>
    <t>Monitoring and Source Data Verification</t>
  </si>
  <si>
    <t>Study Drug</t>
  </si>
  <si>
    <t>Human Biological Samples</t>
  </si>
  <si>
    <t>Web-based Data Capture / Randomization and Trial Supply Management (RTSM, IRT, IxRS)</t>
  </si>
  <si>
    <t>Electronic Patient Reported Outcome (ePRO)</t>
  </si>
  <si>
    <t>Study Materials and Supplies</t>
  </si>
  <si>
    <t>Other Study Requirements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</si>
</sst>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b/>
      <color rgb="FFFFFFFF"/>
      <sz val="14"/>
      <name val="Arial"/>
    </font>
    <font>
      <i/>
      <color rgb="FFFFFFFF"/>
      <sz val="9"/>
      <name val="Arial"/>
    </font>
    <font>
      <b/>
      <color rgb="00395D"/>
      <sz val="10"/>
      <name val="Arial"/>
    </font>
    <font>
      <sz val="10"/>
      <name val="Arial"/>
    </font>
    <font>
      <b/>
      <color rgb="FFFFFFFF"/>
      <sz val="10"/>
      <name val="Arial"/>
    </font>
    <font>
      <b/>
      <color rgb="FF721C24"/>
      <sz val="11"/>
      <name val="Arial"/>
    </font>
    <font>
      <i/>
      <sz val="9"/>
      <name val="Arial"/>
    </font>
    <font>
      <b/>
      <color rgb="FFFFFFFF"/>
      <sz val="12"/>
      <name val="Arial"/>
    </font>
    <font>
      <b/>
      <color rgb="FFFFFFFF"/>
      <sz val="11"/>
      <name val="Arial"/>
    </font>
  </fonts>
  <fills count="6">
    <fill>
      <patternFill patternType="none"/>
    </fill>
    <fill>
      <patternFill patternType="gray125"/>
    </fill>
    <fill>
      <patternFill patternType="solid">
        <fgColor rgb="00395D"/>
      </patternFill>
    </fill>
    <fill>
      <patternFill patternType="solid">
        <fgColor rgb="FFF2F2F2"/>
      </patternFill>
    </fill>
    <fill>
      <patternFill patternType="solid">
        <fgColor rgb="FFFFF0CC"/>
      </patternFill>
    </fill>
    <fill>
      <patternFill patternType="solid">
        <fgColor rgb="FFF8D7DA"/>
      </patternFill>
    </fill>
  </fills>
  <borders count="4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AAAACC"/>
      </left>
      <right style="thin">
        <color rgb="FFAAAACC"/>
      </right>
      <top style="thin">
        <color rgb="FFAAAACC"/>
      </top>
      <bottom style="thin">
        <color rgb="FFAAAACC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vertical="top" wrapText="1"/>
    </xf>
    <xf numFmtId="0" fontId="4" fillId="4" borderId="2" xfId="0" applyFont="1" applyFill="1" applyBorder="1" applyAlignment="1">
      <alignment vertical="top" wrapText="1"/>
    </xf>
    <xf numFmtId="0" fontId="5" fillId="2" borderId="3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vertical="top" wrapText="1"/>
    </xf>
    <xf numFmtId="0" fontId="6" fillId="5" borderId="0" xfId="0" applyFont="1" applyFill="1" applyAlignment="1">
      <alignment horizontal="center" vertical="center"/>
    </xf>
    <xf numFmtId="0" fontId="5" fillId="2" borderId="3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top"/>
    </xf>
    <xf numFmtId="0" fontId="4" fillId="4" borderId="2" xfId="0" applyFont="1" applyFill="1" applyBorder="1" applyAlignment="1">
      <alignment horizontal="center" vertical="top"/>
    </xf>
    <xf numFmtId="0" fontId="7" fillId="3" borderId="0" xfId="0" applyFont="1" applyFill="1" applyAlignment="1">
      <alignment horizontal="center" vertical="top"/>
    </xf>
    <xf numFmtId="0" fontId="8" fillId="2" borderId="3" xfId="0" applyFont="1" applyFill="1" applyBorder="1" applyAlignment="1">
      <alignment horizontal="left" vertical="center" wrapText="1"/>
    </xf>
    <xf numFmtId="0" fontId="9" fillId="2" borderId="3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vertical="top" wrapText="1"/>
    </xf>
  </cellXfs>
  <cellStyles count="1">
    <cellStyle name="Normal" xfId="0" builtinId="0"/>
  </cellStyles>
  <dxfs count="7">
    <dxf>
      <fill>
        <patternFill patternType="solid">
          <bgColor rgb="FFD4EDDA"/>
        </patternFill>
      </fill>
    </dxf>
    <dxf>
      <fill>
        <patternFill patternType="solid">
          <bgColor rgb="FFF8D7DA"/>
        </patternFill>
      </fill>
    </dxf>
    <dxf>
      <fill>
        <patternFill patternType="solid">
          <bgColor rgb="FFFFF3CD"/>
        </patternFill>
      </fill>
    </dxf>
    <dxf>
      <fill>
        <patternFill patternType="solid">
          <bgColor rgb="FFF8D7DA"/>
        </patternFill>
      </fill>
    </dxf>
    <dxf>
      <fill>
        <patternFill patternType="solid">
          <bgColor rgb="FFFFF3CD"/>
        </patternFill>
      </fill>
    </dxf>
    <dxf>
      <fill>
        <patternFill patternType="solid">
          <bgColor rgb="FFFFFFF3CD"/>
        </patternFill>
      </fill>
    </dxf>
    <dxf>
      <fill>
        <patternFill patternType="solid">
          <bgColor rgb="FFFFF3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9"/>
  <sheetFormatPr defaultRowHeight="15" outlineLevelRow="0" outlineLevelCol="0" x14ac:dyDescent="55"/>
  <cols>
    <col min="1" max="1" width="30" customWidth="1"/>
    <col min="2" max="2" width="35" customWidth="1"/>
    <col min="3" max="3" width="15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2"/>
    </row>
    <row r="3" ht="20" customHeight="1" spans="1:2" x14ac:dyDescent="0.25">
      <c r="A3" s="3" t="s">
        <v>2</v>
      </c>
      <c r="B3" s="4" t="s">
        <v>3</v>
      </c>
    </row>
    <row r="4" ht="20" customHeight="1" spans="1:2" x14ac:dyDescent="0.25">
      <c r="A4" s="3" t="s">
        <v>4</v>
      </c>
      <c r="B4" s="4" t="s">
        <v>5</v>
      </c>
    </row>
    <row r="5" ht="20" customHeight="1" spans="1:2" x14ac:dyDescent="0.25">
      <c r="A5" s="3" t="s">
        <v>6</v>
      </c>
      <c r="B5" s="4" t="s">
        <v>5</v>
      </c>
    </row>
    <row r="6" ht="20" customHeight="1" spans="1:2" x14ac:dyDescent="0.25">
      <c r="A6" s="3" t="s">
        <v>7</v>
      </c>
      <c r="B6" s="4" t="s">
        <v>5</v>
      </c>
    </row>
    <row r="7" ht="20" customHeight="1" spans="1:2" x14ac:dyDescent="0.25">
      <c r="A7" s="3" t="s">
        <v>8</v>
      </c>
      <c r="B7" s="4" t="s">
        <v>5</v>
      </c>
    </row>
    <row r="8" ht="20" customHeight="1" spans="1:2" x14ac:dyDescent="0.25">
      <c r="A8" s="3" t="s">
        <v>9</v>
      </c>
      <c r="B8" s="4" t="s">
        <v>5</v>
      </c>
    </row>
    <row r="9" ht="20" customHeight="1" spans="1:2" x14ac:dyDescent="0.25">
      <c r="A9" s="3" t="s">
        <v>10</v>
      </c>
      <c r="B9" s="4" t="s">
        <v>11</v>
      </c>
    </row>
    <row r="10" ht="20" customHeight="1" spans="1:2" x14ac:dyDescent="0.25">
      <c r="A10" s="3" t="s">
        <v>12</v>
      </c>
      <c r="B10" s="4" t="s">
        <v>5</v>
      </c>
    </row>
    <row r="11" ht="20" customHeight="1" spans="1:2" x14ac:dyDescent="0.25">
      <c r="A11" s="3" t="s">
        <v>13</v>
      </c>
      <c r="B11" s="4" t="s">
        <v>14</v>
      </c>
    </row>
    <row r="12" ht="20" customHeight="1" spans="1:2" x14ac:dyDescent="0.25">
      <c r="A12" s="3" t="s">
        <v>15</v>
      </c>
      <c r="B12" s="4" t="s">
        <v>5</v>
      </c>
    </row>
    <row r="13" ht="20" customHeight="1" spans="1:2" x14ac:dyDescent="0.25">
      <c r="A13" s="3" t="s">
        <v>16</v>
      </c>
      <c r="B13" s="4" t="s">
        <v>5</v>
      </c>
    </row>
    <row r="14" ht="20" customHeight="1" spans="1:2" x14ac:dyDescent="0.25">
      <c r="A14" s="3" t="s">
        <v>17</v>
      </c>
      <c r="B14" s="4" t="s">
        <v>5</v>
      </c>
    </row>
    <row r="15" ht="20" customHeight="1" spans="1:2" x14ac:dyDescent="0.25">
      <c r="A15" s="3" t="s">
        <v>18</v>
      </c>
      <c r="B15" s="4" t="s">
        <v>19</v>
      </c>
    </row>
    <row r="18" spans="1:2" x14ac:dyDescent="0.25">
      <c r="A18" s="5" t="s">
        <v>20</v>
      </c>
      <c r="B18" s="5"/>
    </row>
    <row r="19" spans="1:3" x14ac:dyDescent="0.25">
      <c r="A19" s="5" t="s">
        <v>21</v>
      </c>
      <c r="B19" s="5" t="s">
        <v>22</v>
      </c>
      <c r="C19" s="5" t="s">
        <v>23</v>
      </c>
    </row>
    <row r="20" ht="18" customHeight="1" spans="1:3" x14ac:dyDescent="0.25">
      <c r="A20" s="4" t="s">
        <v>5</v>
      </c>
      <c r="B20" s="6" t="s">
        <v>24</v>
      </c>
      <c r="C20" s="4" t="s">
        <v>5</v>
      </c>
    </row>
    <row r="21" ht="18" customHeight="1" spans="1:3" x14ac:dyDescent="0.25">
      <c r="A21" s="4" t="s">
        <v>5</v>
      </c>
      <c r="B21" s="6" t="s">
        <v>25</v>
      </c>
      <c r="C21" s="4" t="s">
        <v>5</v>
      </c>
    </row>
    <row r="22" ht="18" customHeight="1" spans="1:3" x14ac:dyDescent="0.25">
      <c r="A22" s="4" t="s">
        <v>5</v>
      </c>
      <c r="B22" s="6" t="s">
        <v>26</v>
      </c>
      <c r="C22" s="4" t="s">
        <v>5</v>
      </c>
    </row>
    <row r="23" ht="18" customHeight="1" spans="1:3" x14ac:dyDescent="0.25">
      <c r="A23" s="4" t="s">
        <v>5</v>
      </c>
      <c r="B23" s="6" t="s">
        <v>27</v>
      </c>
      <c r="C23" s="4" t="s">
        <v>5</v>
      </c>
    </row>
    <row r="24" ht="18" customHeight="1" spans="1:3" x14ac:dyDescent="0.25">
      <c r="A24" s="4" t="s">
        <v>5</v>
      </c>
      <c r="B24" s="6" t="s">
        <v>28</v>
      </c>
      <c r="C24" s="4" t="s">
        <v>5</v>
      </c>
    </row>
    <row r="25" ht="18" customHeight="1" spans="1:3" x14ac:dyDescent="0.25">
      <c r="A25" s="4" t="s">
        <v>5</v>
      </c>
      <c r="B25" s="6" t="s">
        <v>29</v>
      </c>
      <c r="C25" s="4" t="s">
        <v>5</v>
      </c>
    </row>
    <row r="26" ht="18" customHeight="1" spans="1:3" x14ac:dyDescent="0.25">
      <c r="A26" s="4" t="s">
        <v>5</v>
      </c>
      <c r="B26" s="6" t="s">
        <v>30</v>
      </c>
      <c r="C26" s="4" t="s">
        <v>5</v>
      </c>
    </row>
    <row r="27" ht="18" customHeight="1" spans="1:3" x14ac:dyDescent="0.25">
      <c r="A27" s="4" t="s">
        <v>5</v>
      </c>
      <c r="B27" s="6" t="s">
        <v>31</v>
      </c>
      <c r="C27" s="4" t="s">
        <v>5</v>
      </c>
    </row>
    <row r="28" ht="18" customHeight="1" spans="1:3" x14ac:dyDescent="0.25">
      <c r="A28" s="4" t="s">
        <v>5</v>
      </c>
      <c r="B28" s="6" t="s">
        <v>31</v>
      </c>
      <c r="C28" s="4" t="s">
        <v>5</v>
      </c>
    </row>
    <row r="29" ht="18" customHeight="1" spans="1:3" x14ac:dyDescent="0.25">
      <c r="A29" s="4" t="s">
        <v>5</v>
      </c>
      <c r="B29" s="6" t="s">
        <v>31</v>
      </c>
      <c r="C29" s="4" t="s">
        <v>5</v>
      </c>
    </row>
  </sheetData>
  <mergeCells count="3">
    <mergeCell ref="A1:B1"/>
    <mergeCell ref="A2:B2"/>
    <mergeCell ref="A18:B18"/>
  </mergeCells>
  <dataValidations count="4">
    <dataValidation type="list" allowBlank="1" sqref="B11">
      <formula1>"Yes,No"</formula1>
    </dataValidation>
    <dataValidation type="list" allowBlank="1" sqref="B15">
      <formula1>"Draft,Final"</formula1>
    </dataValidation>
    <dataValidation type="list" allowBlank="1" showErrorMessage="1" error="Please choose from the list." sqref="B9">
      <formula1>"In Person,Remotely,Both"</formula1>
    </dataValidation>
    <dataValidation type="list" allowBlank="1" sqref="C20:C29">
      <formula1>"Y,N"</formula1>
    </dataValidation>
  </dataValidation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5"/>
  <sheetViews>
    <sheetView workbookViewId="0">
      <pane xSplit="2" ySplit="2" topLeftCell="C3" activePane="bottomRight" state="frozen"/>
      <selection pane="bottomRight"/>
    </sheetView>
  </sheetViews>
  <sheetFormatPr defaultRowHeight="15" outlineLevelRow="0" outlineLevelCol="0" x14ac:dyDescent="55"/>
  <cols>
    <col min="1" max="1" width="8" customWidth="1"/>
    <col min="3" max="3" width="50" customWidth="1"/>
    <col min="4" max="4" width="11" customWidth="1"/>
    <col min="8" max="8" width="11" customWidth="1"/>
    <col min="9" max="9" width="12" customWidth="1"/>
    <col min="10" max="13" width="18" customWidth="1"/>
    <col min="14" max="14" width="35" customWidth="1"/>
  </cols>
  <sheetData>
    <row r="1" ht="22" customHeight="1" spans="1:14" x14ac:dyDescent="0.25">
      <c r="A1" s="7">
        <f>=IF(SUMPRODUCT((Questions_Input!I3:I75=TRUE)*(Questions_Input!E3:E75=TRUE))&gt;0,"⚠  SITE ON HOLD — resolve outstanding HOLD items before activation","")</f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ht="28" customHeight="1" spans="1:14" x14ac:dyDescent="0.25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40</v>
      </c>
      <c r="J2" s="8" t="s">
        <v>41</v>
      </c>
      <c r="K2" s="8" t="s">
        <v>42</v>
      </c>
      <c r="L2" s="8" t="s">
        <v>43</v>
      </c>
      <c r="M2" s="8" t="s">
        <v>44</v>
      </c>
      <c r="N2" s="8" t="s">
        <v>45</v>
      </c>
    </row>
    <row r="3" ht="45" customHeight="1" spans="1:14" x14ac:dyDescent="0.25">
      <c r="A3" s="9" t="s">
        <v>46</v>
      </c>
      <c r="B3" s="9" t="s">
        <v>47</v>
      </c>
      <c r="C3" s="6" t="s">
        <v>48</v>
      </c>
      <c r="D3" s="9" t="s">
        <v>14</v>
      </c>
      <c r="E3" s="9" t="b">
        <v>0</v>
      </c>
      <c r="F3" s="9" t="b">
        <v>0</v>
      </c>
      <c r="G3" s="9" t="b">
        <v>0</v>
      </c>
      <c r="H3" s="10" t="s">
        <v>5</v>
      </c>
      <c r="I3" s="11">
        <f>=IF(H3="",FALSE,IF(D3="Yes",OR(H3="No",H3="NA"),IF(D3="Yes/NA",H3="No",IF(D3="No",OR(H3="Yes",H3="NA"),FALSE))))</f>
      </c>
      <c r="J3" s="4" t="s">
        <v>5</v>
      </c>
      <c r="K3" s="4" t="s">
        <v>5</v>
      </c>
      <c r="L3" s="4" t="s">
        <v>5</v>
      </c>
      <c r="M3" s="4" t="s">
        <v>5</v>
      </c>
      <c r="N3" s="4" t="s">
        <v>49</v>
      </c>
    </row>
    <row r="4" ht="45" customHeight="1" spans="1:14" x14ac:dyDescent="0.25">
      <c r="A4" s="9" t="s">
        <v>46</v>
      </c>
      <c r="B4" s="9" t="s">
        <v>50</v>
      </c>
      <c r="C4" s="6" t="s">
        <v>51</v>
      </c>
      <c r="D4" s="9" t="s">
        <v>14</v>
      </c>
      <c r="E4" s="9" t="b">
        <v>0</v>
      </c>
      <c r="F4" s="9" t="b">
        <v>0</v>
      </c>
      <c r="G4" s="9" t="b">
        <v>0</v>
      </c>
      <c r="H4" s="10" t="s">
        <v>5</v>
      </c>
      <c r="I4" s="11">
        <f>=IF(H4="",FALSE,IF(D4="Yes",OR(H4="No",H4="NA"),IF(D4="Yes/NA",H4="No",IF(D4="No",OR(H4="Yes",H4="NA"),FALSE))))</f>
      </c>
      <c r="J4" s="4" t="s">
        <v>5</v>
      </c>
      <c r="K4" s="4" t="s">
        <v>5</v>
      </c>
      <c r="L4" s="4" t="s">
        <v>5</v>
      </c>
      <c r="M4" s="4" t="s">
        <v>5</v>
      </c>
      <c r="N4" s="4" t="s">
        <v>52</v>
      </c>
    </row>
    <row r="5" ht="45" customHeight="1" spans="1:14" x14ac:dyDescent="0.25">
      <c r="A5" s="9" t="s">
        <v>46</v>
      </c>
      <c r="B5" s="9" t="s">
        <v>53</v>
      </c>
      <c r="C5" s="6" t="s">
        <v>54</v>
      </c>
      <c r="D5" s="9" t="s">
        <v>14</v>
      </c>
      <c r="E5" s="9" t="b">
        <v>0</v>
      </c>
      <c r="F5" s="9" t="b">
        <v>0</v>
      </c>
      <c r="G5" s="9" t="b">
        <v>0</v>
      </c>
      <c r="H5" s="10" t="s">
        <v>5</v>
      </c>
      <c r="I5" s="11">
        <f>=IF(H5="",FALSE,IF(D5="Yes",OR(H5="No",H5="NA"),IF(D5="Yes/NA",H5="No",IF(D5="No",OR(H5="Yes",H5="NA"),FALSE))))</f>
      </c>
      <c r="J5" s="4" t="s">
        <v>5</v>
      </c>
      <c r="K5" s="4" t="s">
        <v>5</v>
      </c>
      <c r="L5" s="4" t="s">
        <v>5</v>
      </c>
      <c r="M5" s="4" t="s">
        <v>5</v>
      </c>
      <c r="N5" s="4" t="s">
        <v>55</v>
      </c>
    </row>
    <row r="6" ht="45" customHeight="1" spans="1:14" x14ac:dyDescent="0.25">
      <c r="A6" s="9" t="s">
        <v>46</v>
      </c>
      <c r="B6" s="9" t="s">
        <v>56</v>
      </c>
      <c r="C6" s="6" t="s">
        <v>57</v>
      </c>
      <c r="D6" s="9" t="s">
        <v>14</v>
      </c>
      <c r="E6" s="9" t="b">
        <v>0</v>
      </c>
      <c r="F6" s="9" t="b">
        <v>0</v>
      </c>
      <c r="G6" s="9" t="b">
        <v>0</v>
      </c>
      <c r="H6" s="10" t="s">
        <v>5</v>
      </c>
      <c r="I6" s="11">
        <f>=IF(H6="",FALSE,IF(D6="Yes",OR(H6="No",H6="NA"),IF(D6="Yes/NA",H6="No",IF(D6="No",OR(H6="Yes",H6="NA"),FALSE))))</f>
      </c>
      <c r="J6" s="4" t="s">
        <v>5</v>
      </c>
      <c r="K6" s="4" t="s">
        <v>5</v>
      </c>
      <c r="L6" s="4" t="s">
        <v>5</v>
      </c>
      <c r="M6" s="4" t="s">
        <v>5</v>
      </c>
      <c r="N6" s="4" t="s">
        <v>58</v>
      </c>
    </row>
    <row r="7" ht="45" customHeight="1" spans="1:14" x14ac:dyDescent="0.25">
      <c r="A7" s="9" t="s">
        <v>46</v>
      </c>
      <c r="B7" s="9" t="s">
        <v>59</v>
      </c>
      <c r="C7" s="6" t="s">
        <v>60</v>
      </c>
      <c r="D7" s="9" t="s">
        <v>14</v>
      </c>
      <c r="E7" s="9" t="b">
        <v>0</v>
      </c>
      <c r="F7" s="9" t="b">
        <v>0</v>
      </c>
      <c r="G7" s="9" t="b">
        <v>0</v>
      </c>
      <c r="H7" s="10" t="s">
        <v>5</v>
      </c>
      <c r="I7" s="11">
        <f>=IF(H7="",FALSE,IF(D7="Yes",OR(H7="No",H7="NA"),IF(D7="Yes/NA",H7="No",IF(D7="No",OR(H7="Yes",H7="NA"),FALSE))))</f>
      </c>
      <c r="J7" s="4" t="s">
        <v>5</v>
      </c>
      <c r="K7" s="4" t="s">
        <v>5</v>
      </c>
      <c r="L7" s="4" t="s">
        <v>5</v>
      </c>
      <c r="M7" s="4" t="s">
        <v>5</v>
      </c>
      <c r="N7" s="4" t="s">
        <v>61</v>
      </c>
    </row>
    <row r="8" ht="45" customHeight="1" spans="1:14" x14ac:dyDescent="0.25">
      <c r="A8" s="9" t="s">
        <v>46</v>
      </c>
      <c r="B8" s="9" t="s">
        <v>62</v>
      </c>
      <c r="C8" s="6" t="s">
        <v>63</v>
      </c>
      <c r="D8" s="9" t="s">
        <v>14</v>
      </c>
      <c r="E8" s="9" t="b">
        <v>0</v>
      </c>
      <c r="F8" s="9" t="b">
        <v>0</v>
      </c>
      <c r="G8" s="9" t="b">
        <v>0</v>
      </c>
      <c r="H8" s="10" t="s">
        <v>5</v>
      </c>
      <c r="I8" s="11">
        <f>=IF(H8="",FALSE,IF(D8="Yes",OR(H8="No",H8="NA"),IF(D8="Yes/NA",H8="No",IF(D8="No",OR(H8="Yes",H8="NA"),FALSE))))</f>
      </c>
      <c r="J8" s="4" t="s">
        <v>5</v>
      </c>
      <c r="K8" s="4" t="s">
        <v>5</v>
      </c>
      <c r="L8" s="4" t="s">
        <v>5</v>
      </c>
      <c r="M8" s="4" t="s">
        <v>5</v>
      </c>
      <c r="N8" s="4" t="s">
        <v>61</v>
      </c>
    </row>
    <row r="9" ht="45" customHeight="1" spans="1:14" x14ac:dyDescent="0.25">
      <c r="A9" s="9" t="s">
        <v>46</v>
      </c>
      <c r="B9" s="9" t="s">
        <v>64</v>
      </c>
      <c r="C9" s="6" t="s">
        <v>65</v>
      </c>
      <c r="D9" s="9" t="s">
        <v>14</v>
      </c>
      <c r="E9" s="9" t="b">
        <v>0</v>
      </c>
      <c r="F9" s="9" t="b">
        <v>0</v>
      </c>
      <c r="G9" s="9" t="b">
        <v>0</v>
      </c>
      <c r="H9" s="10" t="s">
        <v>5</v>
      </c>
      <c r="I9" s="11">
        <f>=IF(H9="",FALSE,IF(D9="Yes",OR(H9="No",H9="NA"),IF(D9="Yes/NA",H9="No",IF(D9="No",OR(H9="Yes",H9="NA"),FALSE))))</f>
      </c>
      <c r="J9" s="4" t="s">
        <v>5</v>
      </c>
      <c r="K9" s="4" t="s">
        <v>5</v>
      </c>
      <c r="L9" s="4" t="s">
        <v>5</v>
      </c>
      <c r="M9" s="4" t="s">
        <v>5</v>
      </c>
      <c r="N9" s="4" t="s">
        <v>61</v>
      </c>
    </row>
    <row r="10" ht="45" customHeight="1" spans="1:14" x14ac:dyDescent="0.25">
      <c r="A10" s="9" t="s">
        <v>46</v>
      </c>
      <c r="B10" s="9" t="s">
        <v>66</v>
      </c>
      <c r="C10" s="6" t="s">
        <v>67</v>
      </c>
      <c r="D10" s="9" t="s">
        <v>14</v>
      </c>
      <c r="E10" s="9" t="b">
        <v>0</v>
      </c>
      <c r="F10" s="9" t="b">
        <v>0</v>
      </c>
      <c r="G10" s="9" t="b">
        <v>0</v>
      </c>
      <c r="H10" s="10" t="s">
        <v>5</v>
      </c>
      <c r="I10" s="11">
        <f>=IF(H10="",FALSE,IF(D10="Yes",OR(H10="No",H10="NA"),IF(D10="Yes/NA",H10="No",IF(D10="No",OR(H10="Yes",H10="NA"),FALSE))))</f>
      </c>
      <c r="J10" s="4" t="s">
        <v>5</v>
      </c>
      <c r="K10" s="4" t="s">
        <v>5</v>
      </c>
      <c r="L10" s="4" t="s">
        <v>5</v>
      </c>
      <c r="M10" s="4" t="s">
        <v>5</v>
      </c>
      <c r="N10" s="4" t="s">
        <v>68</v>
      </c>
    </row>
    <row r="11" ht="45" customHeight="1" spans="1:14" x14ac:dyDescent="0.25">
      <c r="A11" s="9" t="s">
        <v>46</v>
      </c>
      <c r="B11" s="9" t="s">
        <v>69</v>
      </c>
      <c r="C11" s="6" t="s">
        <v>70</v>
      </c>
      <c r="D11" s="9" t="s">
        <v>14</v>
      </c>
      <c r="E11" s="9" t="b">
        <v>0</v>
      </c>
      <c r="F11" s="9" t="b">
        <v>0</v>
      </c>
      <c r="G11" s="9" t="b">
        <v>0</v>
      </c>
      <c r="H11" s="10" t="s">
        <v>5</v>
      </c>
      <c r="I11" s="11">
        <f>=IF(H11="",FALSE,IF(D11="Yes",OR(H11="No",H11="NA"),IF(D11="Yes/NA",H11="No",IF(D11="No",OR(H11="Yes",H11="NA"),FALSE))))</f>
      </c>
      <c r="J11" s="4" t="s">
        <v>5</v>
      </c>
      <c r="K11" s="4" t="s">
        <v>5</v>
      </c>
      <c r="L11" s="4" t="s">
        <v>5</v>
      </c>
      <c r="M11" s="4" t="s">
        <v>5</v>
      </c>
      <c r="N11" s="4" t="s">
        <v>71</v>
      </c>
    </row>
    <row r="12" ht="45" customHeight="1" spans="1:14" x14ac:dyDescent="0.25">
      <c r="A12" s="9" t="s">
        <v>46</v>
      </c>
      <c r="B12" s="9" t="s">
        <v>72</v>
      </c>
      <c r="C12" s="6" t="s">
        <v>73</v>
      </c>
      <c r="D12" s="9" t="s">
        <v>14</v>
      </c>
      <c r="E12" s="9" t="b">
        <v>0</v>
      </c>
      <c r="F12" s="9" t="b">
        <v>0</v>
      </c>
      <c r="G12" s="9" t="b">
        <v>0</v>
      </c>
      <c r="H12" s="10" t="s">
        <v>5</v>
      </c>
      <c r="I12" s="11">
        <f>=IF(H12="",FALSE,IF(D12="Yes",OR(H12="No",H12="NA"),IF(D12="Yes/NA",H12="No",IF(D12="No",OR(H12="Yes",H12="NA"),FALSE))))</f>
      </c>
      <c r="J12" s="4" t="s">
        <v>5</v>
      </c>
      <c r="K12" s="4" t="s">
        <v>5</v>
      </c>
      <c r="L12" s="4" t="s">
        <v>5</v>
      </c>
      <c r="M12" s="4" t="s">
        <v>5</v>
      </c>
      <c r="N12" s="4" t="s">
        <v>61</v>
      </c>
    </row>
    <row r="13" ht="45" customHeight="1" spans="1:14" x14ac:dyDescent="0.25">
      <c r="A13" s="9" t="s">
        <v>46</v>
      </c>
      <c r="B13" s="9" t="s">
        <v>74</v>
      </c>
      <c r="C13" s="6" t="s">
        <v>75</v>
      </c>
      <c r="D13" s="9" t="s">
        <v>14</v>
      </c>
      <c r="E13" s="9" t="b">
        <v>0</v>
      </c>
      <c r="F13" s="9" t="b">
        <v>0</v>
      </c>
      <c r="G13" s="9" t="b">
        <v>0</v>
      </c>
      <c r="H13" s="10" t="s">
        <v>5</v>
      </c>
      <c r="I13" s="11">
        <f>=IF(H13="",FALSE,IF(D13="Yes",OR(H13="No",H13="NA"),IF(D13="Yes/NA",H13="No",IF(D13="No",OR(H13="Yes",H13="NA"),FALSE))))</f>
      </c>
      <c r="J13" s="4" t="s">
        <v>5</v>
      </c>
      <c r="K13" s="4" t="s">
        <v>5</v>
      </c>
      <c r="L13" s="4" t="s">
        <v>5</v>
      </c>
      <c r="M13" s="4" t="s">
        <v>5</v>
      </c>
      <c r="N13" s="4" t="s">
        <v>76</v>
      </c>
    </row>
    <row r="14" ht="45" customHeight="1" spans="1:14" x14ac:dyDescent="0.25">
      <c r="A14" s="9" t="s">
        <v>46</v>
      </c>
      <c r="B14" s="9" t="s">
        <v>77</v>
      </c>
      <c r="C14" s="6" t="s">
        <v>78</v>
      </c>
      <c r="D14" s="9" t="s">
        <v>14</v>
      </c>
      <c r="E14" s="9" t="b">
        <v>0</v>
      </c>
      <c r="F14" s="9" t="b">
        <v>0</v>
      </c>
      <c r="G14" s="9" t="b">
        <v>0</v>
      </c>
      <c r="H14" s="10" t="s">
        <v>5</v>
      </c>
      <c r="I14" s="11">
        <f>=IF(H14="",FALSE,IF(D14="Yes",OR(H14="No",H14="NA"),IF(D14="Yes/NA",H14="No",IF(D14="No",OR(H14="Yes",H14="NA"),FALSE))))</f>
      </c>
      <c r="J14" s="4" t="s">
        <v>5</v>
      </c>
      <c r="K14" s="4" t="s">
        <v>5</v>
      </c>
      <c r="L14" s="4" t="s">
        <v>5</v>
      </c>
      <c r="M14" s="4" t="s">
        <v>5</v>
      </c>
      <c r="N14" s="4" t="s">
        <v>79</v>
      </c>
    </row>
    <row r="15" ht="45" customHeight="1" spans="1:14" x14ac:dyDescent="0.25">
      <c r="A15" s="9" t="s">
        <v>46</v>
      </c>
      <c r="B15" s="9" t="s">
        <v>80</v>
      </c>
      <c r="C15" s="6" t="s">
        <v>81</v>
      </c>
      <c r="D15" s="9" t="s">
        <v>14</v>
      </c>
      <c r="E15" s="9" t="b">
        <v>0</v>
      </c>
      <c r="F15" s="9" t="b">
        <v>0</v>
      </c>
      <c r="G15" s="9" t="b">
        <v>0</v>
      </c>
      <c r="H15" s="10" t="s">
        <v>5</v>
      </c>
      <c r="I15" s="11">
        <f>=IF(H15="",FALSE,IF(D15="Yes",OR(H15="No",H15="NA"),IF(D15="Yes/NA",H15="No",IF(D15="No",OR(H15="Yes",H15="NA"),FALSE))))</f>
      </c>
      <c r="J15" s="4" t="s">
        <v>5</v>
      </c>
      <c r="K15" s="4" t="s">
        <v>5</v>
      </c>
      <c r="L15" s="4" t="s">
        <v>5</v>
      </c>
      <c r="M15" s="4" t="s">
        <v>5</v>
      </c>
      <c r="N15" s="4" t="s">
        <v>82</v>
      </c>
    </row>
    <row r="16" ht="45" customHeight="1" spans="1:14" x14ac:dyDescent="0.25">
      <c r="A16" s="9" t="s">
        <v>46</v>
      </c>
      <c r="B16" s="9" t="s">
        <v>83</v>
      </c>
      <c r="C16" s="6" t="s">
        <v>84</v>
      </c>
      <c r="D16" s="9" t="s">
        <v>85</v>
      </c>
      <c r="E16" s="9" t="b">
        <v>0</v>
      </c>
      <c r="F16" s="9" t="b">
        <v>0</v>
      </c>
      <c r="G16" s="9" t="b">
        <v>0</v>
      </c>
      <c r="H16" s="10" t="s">
        <v>5</v>
      </c>
      <c r="I16" s="11">
        <f>=IF(H16="",FALSE,IF(D16="Yes",OR(H16="No",H16="NA"),IF(D16="Yes/NA",H16="No",IF(D16="No",OR(H16="Yes",H16="NA"),FALSE))))</f>
      </c>
      <c r="J16" s="4" t="s">
        <v>5</v>
      </c>
      <c r="K16" s="4" t="s">
        <v>5</v>
      </c>
      <c r="L16" s="4" t="s">
        <v>5</v>
      </c>
      <c r="M16" s="4" t="s">
        <v>5</v>
      </c>
      <c r="N16" s="4" t="s">
        <v>86</v>
      </c>
    </row>
    <row r="17" ht="45" customHeight="1" spans="1:14" x14ac:dyDescent="0.25">
      <c r="A17" s="9" t="s">
        <v>46</v>
      </c>
      <c r="B17" s="9" t="s">
        <v>87</v>
      </c>
      <c r="C17" s="6" t="s">
        <v>88</v>
      </c>
      <c r="D17" s="9" t="s">
        <v>85</v>
      </c>
      <c r="E17" s="9" t="b">
        <v>0</v>
      </c>
      <c r="F17" s="9" t="b">
        <v>0</v>
      </c>
      <c r="G17" s="9" t="b">
        <v>0</v>
      </c>
      <c r="H17" s="10" t="s">
        <v>5</v>
      </c>
      <c r="I17" s="11">
        <f>=IF(H17="",FALSE,IF(D17="Yes",OR(H17="No",H17="NA"),IF(D17="Yes/NA",H17="No",IF(D17="No",OR(H17="Yes",H17="NA"),FALSE))))</f>
      </c>
      <c r="J17" s="4" t="s">
        <v>5</v>
      </c>
      <c r="K17" s="4" t="s">
        <v>5</v>
      </c>
      <c r="L17" s="4" t="s">
        <v>5</v>
      </c>
      <c r="M17" s="4" t="s">
        <v>5</v>
      </c>
      <c r="N17" s="4" t="s">
        <v>86</v>
      </c>
    </row>
    <row r="18" ht="45" customHeight="1" spans="1:14" x14ac:dyDescent="0.25">
      <c r="A18" s="9" t="s">
        <v>46</v>
      </c>
      <c r="B18" s="9" t="s">
        <v>89</v>
      </c>
      <c r="C18" s="6" t="s">
        <v>90</v>
      </c>
      <c r="D18" s="9" t="s">
        <v>14</v>
      </c>
      <c r="E18" s="9" t="b">
        <v>0</v>
      </c>
      <c r="F18" s="9" t="b">
        <v>0</v>
      </c>
      <c r="G18" s="9" t="b">
        <v>0</v>
      </c>
      <c r="H18" s="10" t="s">
        <v>5</v>
      </c>
      <c r="I18" s="11">
        <f>=IF(H18="",FALSE,IF(D18="Yes",OR(H18="No",H18="NA"),IF(D18="Yes/NA",H18="No",IF(D18="No",OR(H18="Yes",H18="NA"),FALSE))))</f>
      </c>
      <c r="J18" s="4" t="s">
        <v>5</v>
      </c>
      <c r="K18" s="4" t="s">
        <v>5</v>
      </c>
      <c r="L18" s="4" t="s">
        <v>5</v>
      </c>
      <c r="M18" s="4" t="s">
        <v>5</v>
      </c>
      <c r="N18" s="4" t="s">
        <v>91</v>
      </c>
    </row>
    <row r="19" ht="45" customHeight="1" spans="1:14" x14ac:dyDescent="0.25">
      <c r="A19" s="9" t="s">
        <v>46</v>
      </c>
      <c r="B19" s="9" t="s">
        <v>92</v>
      </c>
      <c r="C19" s="6" t="s">
        <v>93</v>
      </c>
      <c r="D19" s="9" t="s">
        <v>14</v>
      </c>
      <c r="E19" s="9" t="b">
        <v>0</v>
      </c>
      <c r="F19" s="9" t="b">
        <v>0</v>
      </c>
      <c r="G19" s="9" t="b">
        <v>0</v>
      </c>
      <c r="H19" s="10" t="s">
        <v>5</v>
      </c>
      <c r="I19" s="11">
        <f>=IF(H19="",FALSE,IF(D19="Yes",OR(H19="No",H19="NA"),IF(D19="Yes/NA",H19="No",IF(D19="No",OR(H19="Yes",H19="NA"),FALSE))))</f>
      </c>
      <c r="J19" s="4" t="s">
        <v>5</v>
      </c>
      <c r="K19" s="4" t="s">
        <v>5</v>
      </c>
      <c r="L19" s="4" t="s">
        <v>5</v>
      </c>
      <c r="M19" s="4" t="s">
        <v>5</v>
      </c>
      <c r="N19" s="4" t="s">
        <v>94</v>
      </c>
    </row>
    <row r="20" ht="45" customHeight="1" spans="1:14" x14ac:dyDescent="0.25">
      <c r="A20" s="9" t="s">
        <v>46</v>
      </c>
      <c r="B20" s="9" t="s">
        <v>95</v>
      </c>
      <c r="C20" s="6" t="s">
        <v>96</v>
      </c>
      <c r="D20" s="9" t="s">
        <v>85</v>
      </c>
      <c r="E20" s="9" t="b">
        <v>0</v>
      </c>
      <c r="F20" s="9" t="b">
        <v>0</v>
      </c>
      <c r="G20" s="9" t="b">
        <v>0</v>
      </c>
      <c r="H20" s="10" t="s">
        <v>5</v>
      </c>
      <c r="I20" s="11">
        <f>=IF(H20="",FALSE,IF(D20="Yes",OR(H20="No",H20="NA"),IF(D20="Yes/NA",H20="No",IF(D20="No",OR(H20="Yes",H20="NA"),FALSE))))</f>
      </c>
      <c r="J20" s="4" t="s">
        <v>5</v>
      </c>
      <c r="K20" s="4" t="s">
        <v>5</v>
      </c>
      <c r="L20" s="4" t="s">
        <v>5</v>
      </c>
      <c r="M20" s="4" t="s">
        <v>5</v>
      </c>
      <c r="N20" s="4" t="s">
        <v>97</v>
      </c>
    </row>
    <row r="21" ht="45" customHeight="1" spans="1:14" x14ac:dyDescent="0.25">
      <c r="A21" s="9" t="s">
        <v>46</v>
      </c>
      <c r="B21" s="9" t="s">
        <v>98</v>
      </c>
      <c r="C21" s="6" t="s">
        <v>99</v>
      </c>
      <c r="D21" s="9" t="s">
        <v>14</v>
      </c>
      <c r="E21" s="9" t="b">
        <v>0</v>
      </c>
      <c r="F21" s="9" t="b">
        <v>0</v>
      </c>
      <c r="G21" s="9" t="b">
        <v>0</v>
      </c>
      <c r="H21" s="10" t="s">
        <v>5</v>
      </c>
      <c r="I21" s="11">
        <f>=IF(H21="",FALSE,IF(D21="Yes",OR(H21="No",H21="NA"),IF(D21="Yes/NA",H21="No",IF(D21="No",OR(H21="Yes",H21="NA"),FALSE))))</f>
      </c>
      <c r="J21" s="4" t="s">
        <v>5</v>
      </c>
      <c r="K21" s="4" t="s">
        <v>5</v>
      </c>
      <c r="L21" s="4" t="s">
        <v>5</v>
      </c>
      <c r="M21" s="4" t="s">
        <v>5</v>
      </c>
      <c r="N21" s="4" t="s">
        <v>100</v>
      </c>
    </row>
    <row r="22" ht="45" customHeight="1" spans="1:14" x14ac:dyDescent="0.25">
      <c r="A22" s="9" t="s">
        <v>46</v>
      </c>
      <c r="B22" s="9" t="s">
        <v>101</v>
      </c>
      <c r="C22" s="6" t="s">
        <v>102</v>
      </c>
      <c r="D22" s="9" t="s">
        <v>14</v>
      </c>
      <c r="E22" s="9" t="b">
        <v>0</v>
      </c>
      <c r="F22" s="9" t="b">
        <v>0</v>
      </c>
      <c r="G22" s="9" t="b">
        <v>0</v>
      </c>
      <c r="H22" s="10" t="s">
        <v>5</v>
      </c>
      <c r="I22" s="11">
        <f>=IF(H22="",FALSE,IF(D22="Yes",OR(H22="No",H22="NA"),IF(D22="Yes/NA",H22="No",IF(D22="No",OR(H22="Yes",H22="NA"),FALSE))))</f>
      </c>
      <c r="J22" s="4" t="s">
        <v>5</v>
      </c>
      <c r="K22" s="4" t="s">
        <v>5</v>
      </c>
      <c r="L22" s="4" t="s">
        <v>5</v>
      </c>
      <c r="M22" s="4" t="s">
        <v>5</v>
      </c>
      <c r="N22" s="4" t="s">
        <v>103</v>
      </c>
    </row>
    <row r="23" ht="45" customHeight="1" spans="1:14" x14ac:dyDescent="0.25">
      <c r="A23" s="9" t="s">
        <v>46</v>
      </c>
      <c r="B23" s="9" t="s">
        <v>104</v>
      </c>
      <c r="C23" s="6" t="s">
        <v>105</v>
      </c>
      <c r="D23" s="9" t="s">
        <v>14</v>
      </c>
      <c r="E23" s="9" t="b">
        <v>0</v>
      </c>
      <c r="F23" s="9" t="b">
        <v>0</v>
      </c>
      <c r="G23" s="9" t="b">
        <v>0</v>
      </c>
      <c r="H23" s="10" t="s">
        <v>5</v>
      </c>
      <c r="I23" s="11">
        <f>=IF(H23="",FALSE,IF(D23="Yes",OR(H23="No",H23="NA"),IF(D23="Yes/NA",H23="No",IF(D23="No",OR(H23="Yes",H23="NA"),FALSE))))</f>
      </c>
      <c r="J23" s="4" t="s">
        <v>5</v>
      </c>
      <c r="K23" s="4" t="s">
        <v>5</v>
      </c>
      <c r="L23" s="4" t="s">
        <v>5</v>
      </c>
      <c r="M23" s="4" t="s">
        <v>5</v>
      </c>
      <c r="N23" s="4" t="s">
        <v>106</v>
      </c>
    </row>
    <row r="24" ht="45" customHeight="1" spans="1:14" x14ac:dyDescent="0.25">
      <c r="A24" s="9" t="s">
        <v>46</v>
      </c>
      <c r="B24" s="9" t="s">
        <v>107</v>
      </c>
      <c r="C24" s="6" t="s">
        <v>108</v>
      </c>
      <c r="D24" s="9" t="s">
        <v>14</v>
      </c>
      <c r="E24" s="9" t="b">
        <v>0</v>
      </c>
      <c r="F24" s="9" t="b">
        <v>0</v>
      </c>
      <c r="G24" s="9" t="b">
        <v>0</v>
      </c>
      <c r="H24" s="10" t="s">
        <v>5</v>
      </c>
      <c r="I24" s="11">
        <f>=IF(H24="",FALSE,IF(D24="Yes",OR(H24="No",H24="NA"),IF(D24="Yes/NA",H24="No",IF(D24="No",OR(H24="Yes",H24="NA"),FALSE))))</f>
      </c>
      <c r="J24" s="4" t="s">
        <v>5</v>
      </c>
      <c r="K24" s="4" t="s">
        <v>5</v>
      </c>
      <c r="L24" s="4" t="s">
        <v>5</v>
      </c>
      <c r="M24" s="4" t="s">
        <v>5</v>
      </c>
      <c r="N24" s="4" t="s">
        <v>79</v>
      </c>
    </row>
    <row r="25" ht="45" customHeight="1" spans="1:14" x14ac:dyDescent="0.25">
      <c r="A25" s="9" t="s">
        <v>46</v>
      </c>
      <c r="B25" s="9" t="s">
        <v>109</v>
      </c>
      <c r="C25" s="6" t="s">
        <v>110</v>
      </c>
      <c r="D25" s="9" t="s">
        <v>14</v>
      </c>
      <c r="E25" s="9" t="b">
        <v>0</v>
      </c>
      <c r="F25" s="9" t="b">
        <v>0</v>
      </c>
      <c r="G25" s="9" t="b">
        <v>0</v>
      </c>
      <c r="H25" s="10" t="s">
        <v>5</v>
      </c>
      <c r="I25" s="11">
        <f>=IF(H25="",FALSE,IF(D25="Yes",OR(H25="No",H25="NA"),IF(D25="Yes/NA",H25="No",IF(D25="No",OR(H25="Yes",H25="NA"),FALSE))))</f>
      </c>
      <c r="J25" s="4" t="s">
        <v>5</v>
      </c>
      <c r="K25" s="4" t="s">
        <v>5</v>
      </c>
      <c r="L25" s="4" t="s">
        <v>5</v>
      </c>
      <c r="M25" s="4" t="s">
        <v>5</v>
      </c>
      <c r="N25" s="4" t="s">
        <v>111</v>
      </c>
    </row>
    <row r="26" ht="45" customHeight="1" spans="1:14" x14ac:dyDescent="0.25">
      <c r="A26" s="9" t="s">
        <v>112</v>
      </c>
      <c r="B26" s="9" t="s">
        <v>113</v>
      </c>
      <c r="C26" s="6" t="s">
        <v>114</v>
      </c>
      <c r="D26" s="9" t="s">
        <v>14</v>
      </c>
      <c r="E26" s="9" t="b">
        <v>0</v>
      </c>
      <c r="F26" s="9" t="b">
        <v>0</v>
      </c>
      <c r="G26" s="9" t="b">
        <v>0</v>
      </c>
      <c r="H26" s="10" t="s">
        <v>5</v>
      </c>
      <c r="I26" s="11">
        <f>=IF(H26="",FALSE,IF(D26="Yes",OR(H26="No",H26="NA"),IF(D26="Yes/NA",H26="No",IF(D26="No",OR(H26="Yes",H26="NA"),FALSE))))</f>
      </c>
      <c r="J26" s="4" t="s">
        <v>5</v>
      </c>
      <c r="K26" s="4" t="s">
        <v>5</v>
      </c>
      <c r="L26" s="4" t="s">
        <v>5</v>
      </c>
      <c r="M26" s="4" t="s">
        <v>5</v>
      </c>
      <c r="N26" s="4" t="s">
        <v>115</v>
      </c>
    </row>
    <row r="27" ht="45" customHeight="1" spans="1:14" x14ac:dyDescent="0.25">
      <c r="A27" s="9" t="s">
        <v>112</v>
      </c>
      <c r="B27" s="9" t="s">
        <v>116</v>
      </c>
      <c r="C27" s="6" t="s">
        <v>117</v>
      </c>
      <c r="D27" s="9" t="s">
        <v>85</v>
      </c>
      <c r="E27" s="9" t="b">
        <v>0</v>
      </c>
      <c r="F27" s="9" t="b">
        <v>0</v>
      </c>
      <c r="G27" s="9" t="b">
        <v>0</v>
      </c>
      <c r="H27" s="10" t="s">
        <v>5</v>
      </c>
      <c r="I27" s="11">
        <f>=IF(H27="",FALSE,IF(D27="Yes",OR(H27="No",H27="NA"),IF(D27="Yes/NA",H27="No",IF(D27="No",OR(H27="Yes",H27="NA"),FALSE))))</f>
      </c>
      <c r="J27" s="4" t="s">
        <v>5</v>
      </c>
      <c r="K27" s="4" t="s">
        <v>5</v>
      </c>
      <c r="L27" s="4" t="s">
        <v>5</v>
      </c>
      <c r="M27" s="4" t="s">
        <v>5</v>
      </c>
      <c r="N27" s="4" t="s">
        <v>118</v>
      </c>
    </row>
    <row r="28" ht="45" customHeight="1" spans="1:14" x14ac:dyDescent="0.25">
      <c r="A28" s="9" t="s">
        <v>112</v>
      </c>
      <c r="B28" s="9" t="s">
        <v>119</v>
      </c>
      <c r="C28" s="6" t="s">
        <v>120</v>
      </c>
      <c r="D28" s="9" t="s">
        <v>14</v>
      </c>
      <c r="E28" s="9" t="b">
        <v>0</v>
      </c>
      <c r="F28" s="9" t="b">
        <v>0</v>
      </c>
      <c r="G28" s="9" t="b">
        <v>0</v>
      </c>
      <c r="H28" s="10" t="s">
        <v>5</v>
      </c>
      <c r="I28" s="11">
        <f>=IF(H28="",FALSE,IF(D28="Yes",OR(H28="No",H28="NA"),IF(D28="Yes/NA",H28="No",IF(D28="No",OR(H28="Yes",H28="NA"),FALSE))))</f>
      </c>
      <c r="J28" s="4" t="s">
        <v>5</v>
      </c>
      <c r="K28" s="4" t="s">
        <v>5</v>
      </c>
      <c r="L28" s="4" t="s">
        <v>5</v>
      </c>
      <c r="M28" s="4" t="s">
        <v>5</v>
      </c>
      <c r="N28" s="4" t="s">
        <v>121</v>
      </c>
    </row>
    <row r="29" ht="45" customHeight="1" spans="1:14" x14ac:dyDescent="0.25">
      <c r="A29" s="9" t="s">
        <v>122</v>
      </c>
      <c r="B29" s="9" t="s">
        <v>123</v>
      </c>
      <c r="C29" s="6" t="s">
        <v>124</v>
      </c>
      <c r="D29" s="9" t="s">
        <v>14</v>
      </c>
      <c r="E29" s="9" t="b">
        <v>0</v>
      </c>
      <c r="F29" s="9" t="b">
        <v>0</v>
      </c>
      <c r="G29" s="9" t="b">
        <v>0</v>
      </c>
      <c r="H29" s="10" t="s">
        <v>5</v>
      </c>
      <c r="I29" s="11">
        <f>=IF(H29="",FALSE,IF(D29="Yes",OR(H29="No",H29="NA"),IF(D29="Yes/NA",H29="No",IF(D29="No",OR(H29="Yes",H29="NA"),FALSE))))</f>
      </c>
      <c r="J29" s="4" t="s">
        <v>5</v>
      </c>
      <c r="K29" s="4" t="s">
        <v>5</v>
      </c>
      <c r="L29" s="4" t="s">
        <v>5</v>
      </c>
      <c r="M29" s="4" t="s">
        <v>5</v>
      </c>
      <c r="N29" s="4" t="s">
        <v>125</v>
      </c>
    </row>
    <row r="30" ht="45" customHeight="1" spans="1:14" x14ac:dyDescent="0.25">
      <c r="A30" s="9" t="s">
        <v>122</v>
      </c>
      <c r="B30" s="9" t="s">
        <v>126</v>
      </c>
      <c r="C30" s="6" t="s">
        <v>127</v>
      </c>
      <c r="D30" s="9" t="s">
        <v>85</v>
      </c>
      <c r="E30" s="9" t="b">
        <v>0</v>
      </c>
      <c r="F30" s="9" t="b">
        <v>0</v>
      </c>
      <c r="G30" s="9" t="b">
        <v>0</v>
      </c>
      <c r="H30" s="10" t="s">
        <v>5</v>
      </c>
      <c r="I30" s="11">
        <f>=IF(H30="",FALSE,IF(D30="Yes",OR(H30="No",H30="NA"),IF(D30="Yes/NA",H30="No",IF(D30="No",OR(H30="Yes",H30="NA"),FALSE))))</f>
      </c>
      <c r="J30" s="4" t="s">
        <v>5</v>
      </c>
      <c r="K30" s="4" t="s">
        <v>5</v>
      </c>
      <c r="L30" s="4" t="s">
        <v>5</v>
      </c>
      <c r="M30" s="4" t="s">
        <v>5</v>
      </c>
      <c r="N30" s="4" t="s">
        <v>128</v>
      </c>
    </row>
    <row r="31" ht="45" customHeight="1" spans="1:14" x14ac:dyDescent="0.25">
      <c r="A31" s="9" t="s">
        <v>122</v>
      </c>
      <c r="B31" s="9" t="s">
        <v>129</v>
      </c>
      <c r="C31" s="6" t="s">
        <v>130</v>
      </c>
      <c r="D31" s="9" t="s">
        <v>14</v>
      </c>
      <c r="E31" s="9" t="b">
        <v>0</v>
      </c>
      <c r="F31" s="9" t="b">
        <v>0</v>
      </c>
      <c r="G31" s="9" t="b">
        <v>0</v>
      </c>
      <c r="H31" s="10" t="s">
        <v>5</v>
      </c>
      <c r="I31" s="11">
        <f>=IF(H31="",FALSE,IF(D31="Yes",OR(H31="No",H31="NA"),IF(D31="Yes/NA",H31="No",IF(D31="No",OR(H31="Yes",H31="NA"),FALSE))))</f>
      </c>
      <c r="J31" s="4" t="s">
        <v>5</v>
      </c>
      <c r="K31" s="4" t="s">
        <v>5</v>
      </c>
      <c r="L31" s="4" t="s">
        <v>5</v>
      </c>
      <c r="M31" s="4" t="s">
        <v>5</v>
      </c>
      <c r="N31" s="4" t="s">
        <v>131</v>
      </c>
    </row>
    <row r="32" ht="45" customHeight="1" spans="1:14" x14ac:dyDescent="0.25">
      <c r="A32" s="9" t="s">
        <v>132</v>
      </c>
      <c r="B32" s="9" t="s">
        <v>133</v>
      </c>
      <c r="C32" s="6" t="s">
        <v>134</v>
      </c>
      <c r="D32" s="9" t="s">
        <v>14</v>
      </c>
      <c r="E32" s="9" t="b">
        <v>0</v>
      </c>
      <c r="F32" s="9" t="b">
        <v>0</v>
      </c>
      <c r="G32" s="9" t="b">
        <v>0</v>
      </c>
      <c r="H32" s="10" t="s">
        <v>5</v>
      </c>
      <c r="I32" s="11">
        <f>=IF(H32="",FALSE,IF(D32="Yes",OR(H32="No",H32="NA"),IF(D32="Yes/NA",H32="No",IF(D32="No",OR(H32="Yes",H32="NA"),FALSE))))</f>
      </c>
      <c r="J32" s="4" t="s">
        <v>5</v>
      </c>
      <c r="K32" s="4" t="s">
        <v>5</v>
      </c>
      <c r="L32" s="4" t="s">
        <v>5</v>
      </c>
      <c r="M32" s="4" t="s">
        <v>5</v>
      </c>
      <c r="N32" s="4" t="s">
        <v>135</v>
      </c>
    </row>
    <row r="33" ht="45" customHeight="1" spans="1:14" x14ac:dyDescent="0.25">
      <c r="A33" s="9" t="s">
        <v>132</v>
      </c>
      <c r="B33" s="9" t="s">
        <v>136</v>
      </c>
      <c r="C33" s="6" t="s">
        <v>137</v>
      </c>
      <c r="D33" s="9" t="s">
        <v>14</v>
      </c>
      <c r="E33" s="9" t="b">
        <v>0</v>
      </c>
      <c r="F33" s="9" t="b">
        <v>0</v>
      </c>
      <c r="G33" s="9" t="b">
        <v>0</v>
      </c>
      <c r="H33" s="10" t="s">
        <v>5</v>
      </c>
      <c r="I33" s="11">
        <f>=IF(H33="",FALSE,IF(D33="Yes",OR(H33="No",H33="NA"),IF(D33="Yes/NA",H33="No",IF(D33="No",OR(H33="Yes",H33="NA"),FALSE))))</f>
      </c>
      <c r="J33" s="4" t="s">
        <v>5</v>
      </c>
      <c r="K33" s="4" t="s">
        <v>5</v>
      </c>
      <c r="L33" s="4" t="s">
        <v>5</v>
      </c>
      <c r="M33" s="4" t="s">
        <v>5</v>
      </c>
      <c r="N33" s="4" t="s">
        <v>138</v>
      </c>
    </row>
    <row r="34" ht="45" customHeight="1" spans="1:14" x14ac:dyDescent="0.25">
      <c r="A34" s="9" t="s">
        <v>132</v>
      </c>
      <c r="B34" s="9" t="s">
        <v>139</v>
      </c>
      <c r="C34" s="6" t="s">
        <v>140</v>
      </c>
      <c r="D34" s="9" t="s">
        <v>14</v>
      </c>
      <c r="E34" s="9" t="b">
        <v>0</v>
      </c>
      <c r="F34" s="9" t="b">
        <v>0</v>
      </c>
      <c r="G34" s="9" t="b">
        <v>0</v>
      </c>
      <c r="H34" s="10" t="s">
        <v>5</v>
      </c>
      <c r="I34" s="11">
        <f>=IF(H34="",FALSE,IF(D34="Yes",OR(H34="No",H34="NA"),IF(D34="Yes/NA",H34="No",IF(D34="No",OR(H34="Yes",H34="NA"),FALSE))))</f>
      </c>
      <c r="J34" s="4" t="s">
        <v>5</v>
      </c>
      <c r="K34" s="4" t="s">
        <v>5</v>
      </c>
      <c r="L34" s="4" t="s">
        <v>5</v>
      </c>
      <c r="M34" s="4" t="s">
        <v>5</v>
      </c>
      <c r="N34" s="4" t="s">
        <v>141</v>
      </c>
    </row>
    <row r="35" ht="45" customHeight="1" spans="1:14" x14ac:dyDescent="0.25">
      <c r="A35" s="9" t="s">
        <v>132</v>
      </c>
      <c r="B35" s="9" t="s">
        <v>142</v>
      </c>
      <c r="C35" s="6" t="s">
        <v>143</v>
      </c>
      <c r="D35" s="9" t="s">
        <v>14</v>
      </c>
      <c r="E35" s="9" t="b">
        <v>0</v>
      </c>
      <c r="F35" s="9" t="b">
        <v>0</v>
      </c>
      <c r="G35" s="9" t="b">
        <v>0</v>
      </c>
      <c r="H35" s="10" t="s">
        <v>5</v>
      </c>
      <c r="I35" s="11">
        <f>=IF(H35="",FALSE,IF(D35="Yes",OR(H35="No",H35="NA"),IF(D35="Yes/NA",H35="No",IF(D35="No",OR(H35="Yes",H35="NA"),FALSE))))</f>
      </c>
      <c r="J35" s="4" t="s">
        <v>5</v>
      </c>
      <c r="K35" s="4" t="s">
        <v>5</v>
      </c>
      <c r="L35" s="4" t="s">
        <v>5</v>
      </c>
      <c r="M35" s="4" t="s">
        <v>5</v>
      </c>
      <c r="N35" s="4" t="s">
        <v>144</v>
      </c>
    </row>
    <row r="36" ht="45" customHeight="1" spans="1:14" x14ac:dyDescent="0.25">
      <c r="A36" s="9" t="s">
        <v>132</v>
      </c>
      <c r="B36" s="9" t="s">
        <v>145</v>
      </c>
      <c r="C36" s="6" t="s">
        <v>146</v>
      </c>
      <c r="D36" s="9" t="s">
        <v>14</v>
      </c>
      <c r="E36" s="9" t="b">
        <v>0</v>
      </c>
      <c r="F36" s="9" t="b">
        <v>0</v>
      </c>
      <c r="G36" s="9" t="b">
        <v>0</v>
      </c>
      <c r="H36" s="10" t="s">
        <v>5</v>
      </c>
      <c r="I36" s="11">
        <f>=IF(H36="",FALSE,IF(D36="Yes",OR(H36="No",H36="NA"),IF(D36="Yes/NA",H36="No",IF(D36="No",OR(H36="Yes",H36="NA"),FALSE))))</f>
      </c>
      <c r="J36" s="4" t="s">
        <v>5</v>
      </c>
      <c r="K36" s="4" t="s">
        <v>5</v>
      </c>
      <c r="L36" s="4" t="s">
        <v>5</v>
      </c>
      <c r="M36" s="4" t="s">
        <v>5</v>
      </c>
      <c r="N36" s="4" t="s">
        <v>147</v>
      </c>
    </row>
    <row r="37" ht="45" customHeight="1" spans="1:14" x14ac:dyDescent="0.25">
      <c r="A37" s="9" t="s">
        <v>132</v>
      </c>
      <c r="B37" s="9" t="s">
        <v>148</v>
      </c>
      <c r="C37" s="6" t="s">
        <v>149</v>
      </c>
      <c r="D37" s="9" t="s">
        <v>85</v>
      </c>
      <c r="E37" s="9" t="b">
        <v>0</v>
      </c>
      <c r="F37" s="9" t="b">
        <v>0</v>
      </c>
      <c r="G37" s="9" t="b">
        <v>0</v>
      </c>
      <c r="H37" s="10" t="s">
        <v>5</v>
      </c>
      <c r="I37" s="11">
        <f>=IF(H37="",FALSE,IF(D37="Yes",OR(H37="No",H37="NA"),IF(D37="Yes/NA",H37="No",IF(D37="No",OR(H37="Yes",H37="NA"),FALSE))))</f>
      </c>
      <c r="J37" s="4" t="s">
        <v>5</v>
      </c>
      <c r="K37" s="4" t="s">
        <v>5</v>
      </c>
      <c r="L37" s="4" t="s">
        <v>5</v>
      </c>
      <c r="M37" s="4" t="s">
        <v>5</v>
      </c>
      <c r="N37" s="4" t="s">
        <v>150</v>
      </c>
    </row>
    <row r="38" ht="45" customHeight="1" spans="1:14" x14ac:dyDescent="0.25">
      <c r="A38" s="9" t="s">
        <v>132</v>
      </c>
      <c r="B38" s="9" t="s">
        <v>151</v>
      </c>
      <c r="C38" s="6" t="s">
        <v>152</v>
      </c>
      <c r="D38" s="9" t="s">
        <v>85</v>
      </c>
      <c r="E38" s="9" t="b">
        <v>0</v>
      </c>
      <c r="F38" s="9" t="b">
        <v>0</v>
      </c>
      <c r="G38" s="9" t="b">
        <v>0</v>
      </c>
      <c r="H38" s="10" t="s">
        <v>5</v>
      </c>
      <c r="I38" s="11">
        <f>=IF(H38="",FALSE,IF(D38="Yes",OR(H38="No",H38="NA"),IF(D38="Yes/NA",H38="No",IF(D38="No",OR(H38="Yes",H38="NA"),FALSE))))</f>
      </c>
      <c r="J38" s="4" t="s">
        <v>5</v>
      </c>
      <c r="K38" s="4" t="s">
        <v>5</v>
      </c>
      <c r="L38" s="4" t="s">
        <v>5</v>
      </c>
      <c r="M38" s="4" t="s">
        <v>5</v>
      </c>
      <c r="N38" s="4" t="s">
        <v>153</v>
      </c>
    </row>
    <row r="39" ht="45" customHeight="1" spans="1:14" x14ac:dyDescent="0.25">
      <c r="A39" s="9" t="s">
        <v>132</v>
      </c>
      <c r="B39" s="9" t="s">
        <v>154</v>
      </c>
      <c r="C39" s="6" t="s">
        <v>155</v>
      </c>
      <c r="D39" s="9" t="s">
        <v>14</v>
      </c>
      <c r="E39" s="9" t="b">
        <v>0</v>
      </c>
      <c r="F39" s="9" t="b">
        <v>0</v>
      </c>
      <c r="G39" s="9" t="b">
        <v>0</v>
      </c>
      <c r="H39" s="10" t="s">
        <v>5</v>
      </c>
      <c r="I39" s="11">
        <f>=IF(H39="",FALSE,IF(D39="Yes",OR(H39="No",H39="NA"),IF(D39="Yes/NA",H39="No",IF(D39="No",OR(H39="Yes",H39="NA"),FALSE))))</f>
      </c>
      <c r="J39" s="4" t="s">
        <v>5</v>
      </c>
      <c r="K39" s="4" t="s">
        <v>5</v>
      </c>
      <c r="L39" s="4" t="s">
        <v>5</v>
      </c>
      <c r="M39" s="4" t="s">
        <v>5</v>
      </c>
      <c r="N39" s="4" t="s">
        <v>156</v>
      </c>
    </row>
    <row r="40" ht="45" customHeight="1" spans="1:14" x14ac:dyDescent="0.25">
      <c r="A40" s="9" t="s">
        <v>157</v>
      </c>
      <c r="B40" s="9" t="s">
        <v>158</v>
      </c>
      <c r="C40" s="6" t="s">
        <v>159</v>
      </c>
      <c r="D40" s="9" t="s">
        <v>14</v>
      </c>
      <c r="E40" s="9" t="b">
        <v>0</v>
      </c>
      <c r="F40" s="9" t="b">
        <v>0</v>
      </c>
      <c r="G40" s="9" t="b">
        <v>0</v>
      </c>
      <c r="H40" s="10" t="s">
        <v>5</v>
      </c>
      <c r="I40" s="11">
        <f>=IF(H40="",FALSE,IF(D40="Yes",OR(H40="No",H40="NA"),IF(D40="Yes/NA",H40="No",IF(D40="No",OR(H40="Yes",H40="NA"),FALSE))))</f>
      </c>
      <c r="J40" s="4" t="s">
        <v>5</v>
      </c>
      <c r="K40" s="4" t="s">
        <v>5</v>
      </c>
      <c r="L40" s="4" t="s">
        <v>5</v>
      </c>
      <c r="M40" s="4" t="s">
        <v>5</v>
      </c>
      <c r="N40" s="4" t="s">
        <v>160</v>
      </c>
    </row>
    <row r="41" ht="45" customHeight="1" spans="1:14" x14ac:dyDescent="0.25">
      <c r="A41" s="9" t="s">
        <v>157</v>
      </c>
      <c r="B41" s="9" t="s">
        <v>161</v>
      </c>
      <c r="C41" s="6" t="s">
        <v>162</v>
      </c>
      <c r="D41" s="9" t="s">
        <v>14</v>
      </c>
      <c r="E41" s="9" t="b">
        <v>0</v>
      </c>
      <c r="F41" s="9" t="b">
        <v>0</v>
      </c>
      <c r="G41" s="9" t="b">
        <v>0</v>
      </c>
      <c r="H41" s="10" t="s">
        <v>5</v>
      </c>
      <c r="I41" s="11">
        <f>=IF(H41="",FALSE,IF(D41="Yes",OR(H41="No",H41="NA"),IF(D41="Yes/NA",H41="No",IF(D41="No",OR(H41="Yes",H41="NA"),FALSE))))</f>
      </c>
      <c r="J41" s="4" t="s">
        <v>5</v>
      </c>
      <c r="K41" s="4" t="s">
        <v>5</v>
      </c>
      <c r="L41" s="4" t="s">
        <v>5</v>
      </c>
      <c r="M41" s="4" t="s">
        <v>5</v>
      </c>
      <c r="N41" s="4" t="s">
        <v>163</v>
      </c>
    </row>
    <row r="42" ht="45" customHeight="1" spans="1:14" x14ac:dyDescent="0.25">
      <c r="A42" s="9" t="s">
        <v>164</v>
      </c>
      <c r="B42" s="9" t="s">
        <v>165</v>
      </c>
      <c r="C42" s="6" t="s">
        <v>166</v>
      </c>
      <c r="D42" s="9" t="s">
        <v>14</v>
      </c>
      <c r="E42" s="9" t="b">
        <v>0</v>
      </c>
      <c r="F42" s="9" t="b">
        <v>0</v>
      </c>
      <c r="G42" s="9" t="b">
        <v>0</v>
      </c>
      <c r="H42" s="10" t="s">
        <v>5</v>
      </c>
      <c r="I42" s="11">
        <f>=IF(H42="",FALSE,IF(D42="Yes",OR(H42="No",H42="NA"),IF(D42="Yes/NA",H42="No",IF(D42="No",OR(H42="Yes",H42="NA"),FALSE))))</f>
      </c>
      <c r="J42" s="4" t="s">
        <v>5</v>
      </c>
      <c r="K42" s="4" t="s">
        <v>5</v>
      </c>
      <c r="L42" s="4" t="s">
        <v>5</v>
      </c>
      <c r="M42" s="4" t="s">
        <v>5</v>
      </c>
      <c r="N42" s="4" t="s">
        <v>167</v>
      </c>
    </row>
    <row r="43" ht="45" customHeight="1" spans="1:14" x14ac:dyDescent="0.25">
      <c r="A43" s="9" t="s">
        <v>164</v>
      </c>
      <c r="B43" s="9" t="s">
        <v>168</v>
      </c>
      <c r="C43" s="6" t="s">
        <v>169</v>
      </c>
      <c r="D43" s="9" t="s">
        <v>85</v>
      </c>
      <c r="E43" s="9" t="b">
        <v>0</v>
      </c>
      <c r="F43" s="9" t="b">
        <v>0</v>
      </c>
      <c r="G43" s="9" t="b">
        <v>0</v>
      </c>
      <c r="H43" s="10" t="s">
        <v>5</v>
      </c>
      <c r="I43" s="11">
        <f>=IF(H43="",FALSE,IF(D43="Yes",OR(H43="No",H43="NA"),IF(D43="Yes/NA",H43="No",IF(D43="No",OR(H43="Yes",H43="NA"),FALSE))))</f>
      </c>
      <c r="J43" s="4" t="s">
        <v>5</v>
      </c>
      <c r="K43" s="4" t="s">
        <v>5</v>
      </c>
      <c r="L43" s="4" t="s">
        <v>5</v>
      </c>
      <c r="M43" s="4" t="s">
        <v>5</v>
      </c>
      <c r="N43" s="4" t="s">
        <v>170</v>
      </c>
    </row>
    <row r="44" ht="45" customHeight="1" spans="1:14" x14ac:dyDescent="0.25">
      <c r="A44" s="9" t="s">
        <v>164</v>
      </c>
      <c r="B44" s="9" t="s">
        <v>171</v>
      </c>
      <c r="C44" s="6" t="s">
        <v>172</v>
      </c>
      <c r="D44" s="9" t="s">
        <v>85</v>
      </c>
      <c r="E44" s="9" t="b">
        <v>0</v>
      </c>
      <c r="F44" s="9" t="b">
        <v>0</v>
      </c>
      <c r="G44" s="9" t="b">
        <v>0</v>
      </c>
      <c r="H44" s="10" t="s">
        <v>5</v>
      </c>
      <c r="I44" s="11">
        <f>=IF(H44="",FALSE,IF(D44="Yes",OR(H44="No",H44="NA"),IF(D44="Yes/NA",H44="No",IF(D44="No",OR(H44="Yes",H44="NA"),FALSE))))</f>
      </c>
      <c r="J44" s="4" t="s">
        <v>5</v>
      </c>
      <c r="K44" s="4" t="s">
        <v>5</v>
      </c>
      <c r="L44" s="4" t="s">
        <v>5</v>
      </c>
      <c r="M44" s="4" t="s">
        <v>5</v>
      </c>
      <c r="N44" s="4" t="s">
        <v>173</v>
      </c>
    </row>
    <row r="45" ht="45" customHeight="1" spans="1:14" x14ac:dyDescent="0.25">
      <c r="A45" s="9" t="s">
        <v>174</v>
      </c>
      <c r="B45" s="9" t="s">
        <v>175</v>
      </c>
      <c r="C45" s="6" t="s">
        <v>176</v>
      </c>
      <c r="D45" s="9" t="s">
        <v>14</v>
      </c>
      <c r="E45" s="9" t="b">
        <v>0</v>
      </c>
      <c r="F45" s="9" t="b">
        <v>0</v>
      </c>
      <c r="G45" s="9" t="b">
        <v>0</v>
      </c>
      <c r="H45" s="10" t="s">
        <v>5</v>
      </c>
      <c r="I45" s="11">
        <f>=IF(H45="",FALSE,IF(D45="Yes",OR(H45="No",H45="NA"),IF(D45="Yes/NA",H45="No",IF(D45="No",OR(H45="Yes",H45="NA"),FALSE))))</f>
      </c>
      <c r="J45" s="4" t="s">
        <v>5</v>
      </c>
      <c r="K45" s="4" t="s">
        <v>5</v>
      </c>
      <c r="L45" s="4" t="s">
        <v>5</v>
      </c>
      <c r="M45" s="4" t="s">
        <v>5</v>
      </c>
      <c r="N45" s="4" t="s">
        <v>177</v>
      </c>
    </row>
    <row r="46" ht="45" customHeight="1" spans="1:14" x14ac:dyDescent="0.25">
      <c r="A46" s="9" t="s">
        <v>174</v>
      </c>
      <c r="B46" s="9" t="s">
        <v>178</v>
      </c>
      <c r="C46" s="6" t="s">
        <v>179</v>
      </c>
      <c r="D46" s="9" t="s">
        <v>14</v>
      </c>
      <c r="E46" s="9" t="b">
        <v>0</v>
      </c>
      <c r="F46" s="9" t="b">
        <v>0</v>
      </c>
      <c r="G46" s="9" t="b">
        <v>0</v>
      </c>
      <c r="H46" s="10" t="s">
        <v>5</v>
      </c>
      <c r="I46" s="11">
        <f>=IF(H46="",FALSE,IF(D46="Yes",OR(H46="No",H46="NA"),IF(D46="Yes/NA",H46="No",IF(D46="No",OR(H46="Yes",H46="NA"),FALSE))))</f>
      </c>
      <c r="J46" s="4" t="s">
        <v>5</v>
      </c>
      <c r="K46" s="4" t="s">
        <v>5</v>
      </c>
      <c r="L46" s="4" t="s">
        <v>5</v>
      </c>
      <c r="M46" s="4" t="s">
        <v>5</v>
      </c>
      <c r="N46" s="4" t="s">
        <v>180</v>
      </c>
    </row>
    <row r="47" ht="45" customHeight="1" spans="1:14" x14ac:dyDescent="0.25">
      <c r="A47" s="9" t="s">
        <v>174</v>
      </c>
      <c r="B47" s="9" t="s">
        <v>181</v>
      </c>
      <c r="C47" s="6" t="s">
        <v>182</v>
      </c>
      <c r="D47" s="9" t="s">
        <v>14</v>
      </c>
      <c r="E47" s="9" t="b">
        <v>0</v>
      </c>
      <c r="F47" s="9" t="b">
        <v>0</v>
      </c>
      <c r="G47" s="9" t="b">
        <v>0</v>
      </c>
      <c r="H47" s="10" t="s">
        <v>5</v>
      </c>
      <c r="I47" s="11">
        <f>=IF(H47="",FALSE,IF(D47="Yes",OR(H47="No",H47="NA"),IF(D47="Yes/NA",H47="No",IF(D47="No",OR(H47="Yes",H47="NA"),FALSE))))</f>
      </c>
      <c r="J47" s="4" t="s">
        <v>5</v>
      </c>
      <c r="K47" s="4" t="s">
        <v>5</v>
      </c>
      <c r="L47" s="4" t="s">
        <v>5</v>
      </c>
      <c r="M47" s="4" t="s">
        <v>5</v>
      </c>
      <c r="N47" s="4" t="s">
        <v>183</v>
      </c>
    </row>
    <row r="48" ht="45" customHeight="1" spans="1:14" x14ac:dyDescent="0.25">
      <c r="A48" s="9" t="s">
        <v>184</v>
      </c>
      <c r="B48" s="9" t="s">
        <v>185</v>
      </c>
      <c r="C48" s="6" t="s">
        <v>186</v>
      </c>
      <c r="D48" s="9" t="s">
        <v>14</v>
      </c>
      <c r="E48" s="9" t="b">
        <v>0</v>
      </c>
      <c r="F48" s="9" t="b">
        <v>0</v>
      </c>
      <c r="G48" s="9" t="b">
        <v>0</v>
      </c>
      <c r="H48" s="10" t="s">
        <v>5</v>
      </c>
      <c r="I48" s="11">
        <f>=IF(H48="",FALSE,IF(D48="Yes",OR(H48="No",H48="NA"),IF(D48="Yes/NA",H48="No",IF(D48="No",OR(H48="Yes",H48="NA"),FALSE))))</f>
      </c>
      <c r="J48" s="4" t="s">
        <v>5</v>
      </c>
      <c r="K48" s="4" t="s">
        <v>5</v>
      </c>
      <c r="L48" s="4" t="s">
        <v>5</v>
      </c>
      <c r="M48" s="4" t="s">
        <v>5</v>
      </c>
      <c r="N48" s="4" t="s">
        <v>187</v>
      </c>
    </row>
    <row r="49" ht="45" customHeight="1" spans="1:14" x14ac:dyDescent="0.25">
      <c r="A49" s="9" t="s">
        <v>184</v>
      </c>
      <c r="B49" s="9" t="s">
        <v>188</v>
      </c>
      <c r="C49" s="6" t="s">
        <v>189</v>
      </c>
      <c r="D49" s="9" t="s">
        <v>14</v>
      </c>
      <c r="E49" s="9" t="b">
        <v>0</v>
      </c>
      <c r="F49" s="9" t="b">
        <v>0</v>
      </c>
      <c r="G49" s="9" t="b">
        <v>0</v>
      </c>
      <c r="H49" s="10" t="s">
        <v>5</v>
      </c>
      <c r="I49" s="11">
        <f>=IF(H49="",FALSE,IF(D49="Yes",OR(H49="No",H49="NA"),IF(D49="Yes/NA",H49="No",IF(D49="No",OR(H49="Yes",H49="NA"),FALSE))))</f>
      </c>
      <c r="J49" s="4" t="s">
        <v>5</v>
      </c>
      <c r="K49" s="4" t="s">
        <v>5</v>
      </c>
      <c r="L49" s="4" t="s">
        <v>5</v>
      </c>
      <c r="M49" s="4" t="s">
        <v>5</v>
      </c>
      <c r="N49" s="4" t="s">
        <v>190</v>
      </c>
    </row>
    <row r="50" ht="45" customHeight="1" spans="1:14" x14ac:dyDescent="0.25">
      <c r="A50" s="9" t="s">
        <v>184</v>
      </c>
      <c r="B50" s="9" t="s">
        <v>191</v>
      </c>
      <c r="C50" s="6" t="s">
        <v>192</v>
      </c>
      <c r="D50" s="9" t="s">
        <v>14</v>
      </c>
      <c r="E50" s="9" t="b">
        <v>0</v>
      </c>
      <c r="F50" s="9" t="b">
        <v>0</v>
      </c>
      <c r="G50" s="9" t="b">
        <v>0</v>
      </c>
      <c r="H50" s="10" t="s">
        <v>5</v>
      </c>
      <c r="I50" s="11">
        <f>=IF(H50="",FALSE,IF(D50="Yes",OR(H50="No",H50="NA"),IF(D50="Yes/NA",H50="No",IF(D50="No",OR(H50="Yes",H50="NA"),FALSE))))</f>
      </c>
      <c r="J50" s="4" t="s">
        <v>5</v>
      </c>
      <c r="K50" s="4" t="s">
        <v>5</v>
      </c>
      <c r="L50" s="4" t="s">
        <v>5</v>
      </c>
      <c r="M50" s="4" t="s">
        <v>5</v>
      </c>
      <c r="N50" s="4" t="s">
        <v>193</v>
      </c>
    </row>
    <row r="51" ht="45" customHeight="1" spans="1:14" x14ac:dyDescent="0.25">
      <c r="A51" s="9" t="s">
        <v>184</v>
      </c>
      <c r="B51" s="9" t="s">
        <v>194</v>
      </c>
      <c r="C51" s="6" t="s">
        <v>195</v>
      </c>
      <c r="D51" s="9" t="s">
        <v>14</v>
      </c>
      <c r="E51" s="9" t="b">
        <v>0</v>
      </c>
      <c r="F51" s="9" t="b">
        <v>0</v>
      </c>
      <c r="G51" s="9" t="b">
        <v>0</v>
      </c>
      <c r="H51" s="10" t="s">
        <v>5</v>
      </c>
      <c r="I51" s="11">
        <f>=IF(H51="",FALSE,IF(D51="Yes",OR(H51="No",H51="NA"),IF(D51="Yes/NA",H51="No",IF(D51="No",OR(H51="Yes",H51="NA"),FALSE))))</f>
      </c>
      <c r="J51" s="4" t="s">
        <v>5</v>
      </c>
      <c r="K51" s="4" t="s">
        <v>5</v>
      </c>
      <c r="L51" s="4" t="s">
        <v>5</v>
      </c>
      <c r="M51" s="4" t="s">
        <v>5</v>
      </c>
      <c r="N51" s="4" t="s">
        <v>5</v>
      </c>
    </row>
    <row r="52" ht="45" customHeight="1" spans="1:14" x14ac:dyDescent="0.25">
      <c r="A52" s="9" t="s">
        <v>196</v>
      </c>
      <c r="B52" s="9" t="s">
        <v>197</v>
      </c>
      <c r="C52" s="6" t="s">
        <v>198</v>
      </c>
      <c r="D52" s="9" t="s">
        <v>14</v>
      </c>
      <c r="E52" s="9" t="b">
        <v>0</v>
      </c>
      <c r="F52" s="9" t="b">
        <v>0</v>
      </c>
      <c r="G52" s="9" t="b">
        <v>0</v>
      </c>
      <c r="H52" s="10" t="s">
        <v>5</v>
      </c>
      <c r="I52" s="11">
        <f>=IF(H52="",FALSE,IF(D52="Yes",OR(H52="No",H52="NA"),IF(D52="Yes/NA",H52="No",IF(D52="No",OR(H52="Yes",H52="NA"),FALSE))))</f>
      </c>
      <c r="J52" s="4" t="s">
        <v>5</v>
      </c>
      <c r="K52" s="4" t="s">
        <v>5</v>
      </c>
      <c r="L52" s="4" t="s">
        <v>5</v>
      </c>
      <c r="M52" s="4" t="s">
        <v>5</v>
      </c>
      <c r="N52" s="4" t="s">
        <v>199</v>
      </c>
    </row>
    <row r="53" ht="45" customHeight="1" spans="1:14" x14ac:dyDescent="0.25">
      <c r="A53" s="9" t="s">
        <v>196</v>
      </c>
      <c r="B53" s="9" t="s">
        <v>200</v>
      </c>
      <c r="C53" s="6" t="s">
        <v>201</v>
      </c>
      <c r="D53" s="9" t="s">
        <v>85</v>
      </c>
      <c r="E53" s="9" t="b">
        <v>0</v>
      </c>
      <c r="F53" s="9" t="b">
        <v>0</v>
      </c>
      <c r="G53" s="9" t="b">
        <v>0</v>
      </c>
      <c r="H53" s="10" t="s">
        <v>5</v>
      </c>
      <c r="I53" s="11">
        <f>=IF(H53="",FALSE,IF(D53="Yes",OR(H53="No",H53="NA"),IF(D53="Yes/NA",H53="No",IF(D53="No",OR(H53="Yes",H53="NA"),FALSE))))</f>
      </c>
      <c r="J53" s="4" t="s">
        <v>5</v>
      </c>
      <c r="K53" s="4" t="s">
        <v>5</v>
      </c>
      <c r="L53" s="4" t="s">
        <v>5</v>
      </c>
      <c r="M53" s="4" t="s">
        <v>5</v>
      </c>
      <c r="N53" s="4" t="s">
        <v>202</v>
      </c>
    </row>
    <row r="54" ht="45" customHeight="1" spans="1:14" x14ac:dyDescent="0.25">
      <c r="A54" s="9" t="s">
        <v>196</v>
      </c>
      <c r="B54" s="9" t="s">
        <v>203</v>
      </c>
      <c r="C54" s="6" t="s">
        <v>204</v>
      </c>
      <c r="D54" s="9" t="s">
        <v>14</v>
      </c>
      <c r="E54" s="9" t="b">
        <v>0</v>
      </c>
      <c r="F54" s="9" t="b">
        <v>0</v>
      </c>
      <c r="G54" s="9" t="b">
        <v>0</v>
      </c>
      <c r="H54" s="10" t="s">
        <v>5</v>
      </c>
      <c r="I54" s="11">
        <f>=IF(H54="",FALSE,IF(D54="Yes",OR(H54="No",H54="NA"),IF(D54="Yes/NA",H54="No",IF(D54="No",OR(H54="Yes",H54="NA"),FALSE))))</f>
      </c>
      <c r="J54" s="4" t="s">
        <v>5</v>
      </c>
      <c r="K54" s="4" t="s">
        <v>5</v>
      </c>
      <c r="L54" s="4" t="s">
        <v>5</v>
      </c>
      <c r="M54" s="4" t="s">
        <v>5</v>
      </c>
      <c r="N54" s="4" t="s">
        <v>205</v>
      </c>
    </row>
    <row r="55" ht="45" customHeight="1" spans="1:14" x14ac:dyDescent="0.25">
      <c r="A55" s="9" t="s">
        <v>196</v>
      </c>
      <c r="B55" s="9" t="s">
        <v>206</v>
      </c>
      <c r="C55" s="6" t="s">
        <v>207</v>
      </c>
      <c r="D55" s="9" t="s">
        <v>85</v>
      </c>
      <c r="E55" s="9" t="b">
        <v>0</v>
      </c>
      <c r="F55" s="9" t="b">
        <v>0</v>
      </c>
      <c r="G55" s="9" t="b">
        <v>0</v>
      </c>
      <c r="H55" s="10" t="s">
        <v>5</v>
      </c>
      <c r="I55" s="11">
        <f>=IF(H55="",FALSE,IF(D55="Yes",OR(H55="No",H55="NA"),IF(D55="Yes/NA",H55="No",IF(D55="No",OR(H55="Yes",H55="NA"),FALSE))))</f>
      </c>
      <c r="J55" s="4" t="s">
        <v>5</v>
      </c>
      <c r="K55" s="4" t="s">
        <v>5</v>
      </c>
      <c r="L55" s="4" t="s">
        <v>5</v>
      </c>
      <c r="M55" s="4" t="s">
        <v>5</v>
      </c>
      <c r="N55" s="4" t="s">
        <v>208</v>
      </c>
    </row>
    <row r="56" ht="45" customHeight="1" spans="1:14" x14ac:dyDescent="0.25">
      <c r="A56" s="9" t="s">
        <v>196</v>
      </c>
      <c r="B56" s="9" t="s">
        <v>209</v>
      </c>
      <c r="C56" s="6" t="s">
        <v>210</v>
      </c>
      <c r="D56" s="9" t="s">
        <v>85</v>
      </c>
      <c r="E56" s="9" t="b">
        <v>0</v>
      </c>
      <c r="F56" s="9" t="b">
        <v>0</v>
      </c>
      <c r="G56" s="9" t="b">
        <v>0</v>
      </c>
      <c r="H56" s="10" t="s">
        <v>5</v>
      </c>
      <c r="I56" s="11">
        <f>=IF(H56="",FALSE,IF(D56="Yes",OR(H56="No",H56="NA"),IF(D56="Yes/NA",H56="No",IF(D56="No",OR(H56="Yes",H56="NA"),FALSE))))</f>
      </c>
      <c r="J56" s="4" t="s">
        <v>5</v>
      </c>
      <c r="K56" s="4" t="s">
        <v>5</v>
      </c>
      <c r="L56" s="4" t="s">
        <v>5</v>
      </c>
      <c r="M56" s="4" t="s">
        <v>5</v>
      </c>
      <c r="N56" s="4" t="s">
        <v>211</v>
      </c>
    </row>
    <row r="57" ht="45" customHeight="1" spans="1:14" x14ac:dyDescent="0.25">
      <c r="A57" s="9" t="s">
        <v>196</v>
      </c>
      <c r="B57" s="9" t="s">
        <v>212</v>
      </c>
      <c r="C57" s="6" t="s">
        <v>213</v>
      </c>
      <c r="D57" s="9" t="s">
        <v>85</v>
      </c>
      <c r="E57" s="9" t="b">
        <v>0</v>
      </c>
      <c r="F57" s="9" t="b">
        <v>0</v>
      </c>
      <c r="G57" s="9" t="b">
        <v>0</v>
      </c>
      <c r="H57" s="10" t="s">
        <v>5</v>
      </c>
      <c r="I57" s="11">
        <f>=IF(H57="",FALSE,IF(D57="Yes",OR(H57="No",H57="NA"),IF(D57="Yes/NA",H57="No",IF(D57="No",OR(H57="Yes",H57="NA"),FALSE))))</f>
      </c>
      <c r="J57" s="4" t="s">
        <v>5</v>
      </c>
      <c r="K57" s="4" t="s">
        <v>5</v>
      </c>
      <c r="L57" s="4" t="s">
        <v>5</v>
      </c>
      <c r="M57" s="4" t="s">
        <v>5</v>
      </c>
      <c r="N57" s="4" t="s">
        <v>214</v>
      </c>
    </row>
    <row r="58" ht="45" customHeight="1" spans="1:14" x14ac:dyDescent="0.25">
      <c r="A58" s="9" t="s">
        <v>196</v>
      </c>
      <c r="B58" s="9" t="s">
        <v>215</v>
      </c>
      <c r="C58" s="6" t="s">
        <v>216</v>
      </c>
      <c r="D58" s="9" t="s">
        <v>85</v>
      </c>
      <c r="E58" s="9" t="b">
        <v>0</v>
      </c>
      <c r="F58" s="9" t="b">
        <v>0</v>
      </c>
      <c r="G58" s="9" t="b">
        <v>0</v>
      </c>
      <c r="H58" s="10" t="s">
        <v>5</v>
      </c>
      <c r="I58" s="11">
        <f>=IF(H58="",FALSE,IF(D58="Yes",OR(H58="No",H58="NA"),IF(D58="Yes/NA",H58="No",IF(D58="No",OR(H58="Yes",H58="NA"),FALSE))))</f>
      </c>
      <c r="J58" s="4" t="s">
        <v>5</v>
      </c>
      <c r="K58" s="4" t="s">
        <v>5</v>
      </c>
      <c r="L58" s="4" t="s">
        <v>5</v>
      </c>
      <c r="M58" s="4" t="s">
        <v>5</v>
      </c>
      <c r="N58" s="4" t="s">
        <v>217</v>
      </c>
    </row>
    <row r="59" ht="45" customHeight="1" spans="1:14" x14ac:dyDescent="0.25">
      <c r="A59" s="9" t="s">
        <v>196</v>
      </c>
      <c r="B59" s="9" t="s">
        <v>218</v>
      </c>
      <c r="C59" s="6" t="s">
        <v>219</v>
      </c>
      <c r="D59" s="9" t="s">
        <v>14</v>
      </c>
      <c r="E59" s="9" t="b">
        <v>0</v>
      </c>
      <c r="F59" s="9" t="b">
        <v>0</v>
      </c>
      <c r="G59" s="9" t="b">
        <v>0</v>
      </c>
      <c r="H59" s="10" t="s">
        <v>5</v>
      </c>
      <c r="I59" s="11">
        <f>=IF(H59="",FALSE,IF(D59="Yes",OR(H59="No",H59="NA"),IF(D59="Yes/NA",H59="No",IF(D59="No",OR(H59="Yes",H59="NA"),FALSE))))</f>
      </c>
      <c r="J59" s="4" t="s">
        <v>5</v>
      </c>
      <c r="K59" s="4" t="s">
        <v>5</v>
      </c>
      <c r="L59" s="4" t="s">
        <v>5</v>
      </c>
      <c r="M59" s="4" t="s">
        <v>5</v>
      </c>
      <c r="N59" s="4" t="s">
        <v>220</v>
      </c>
    </row>
    <row r="60" ht="45" customHeight="1" spans="1:14" x14ac:dyDescent="0.25">
      <c r="A60" s="9" t="s">
        <v>196</v>
      </c>
      <c r="B60" s="9" t="s">
        <v>221</v>
      </c>
      <c r="C60" s="6" t="s">
        <v>222</v>
      </c>
      <c r="D60" s="9" t="s">
        <v>85</v>
      </c>
      <c r="E60" s="9" t="b">
        <v>0</v>
      </c>
      <c r="F60" s="9" t="b">
        <v>0</v>
      </c>
      <c r="G60" s="9" t="b">
        <v>0</v>
      </c>
      <c r="H60" s="10" t="s">
        <v>5</v>
      </c>
      <c r="I60" s="11">
        <f>=IF(H60="",FALSE,IF(D60="Yes",OR(H60="No",H60="NA"),IF(D60="Yes/NA",H60="No",IF(D60="No",OR(H60="Yes",H60="NA"),FALSE))))</f>
      </c>
      <c r="J60" s="4" t="s">
        <v>5</v>
      </c>
      <c r="K60" s="4" t="s">
        <v>5</v>
      </c>
      <c r="L60" s="4" t="s">
        <v>5</v>
      </c>
      <c r="M60" s="4" t="s">
        <v>5</v>
      </c>
      <c r="N60" s="4" t="s">
        <v>211</v>
      </c>
    </row>
    <row r="61" ht="45" customHeight="1" spans="1:14" x14ac:dyDescent="0.25">
      <c r="A61" s="9" t="s">
        <v>196</v>
      </c>
      <c r="B61" s="9" t="s">
        <v>223</v>
      </c>
      <c r="C61" s="6" t="s">
        <v>224</v>
      </c>
      <c r="D61" s="9" t="s">
        <v>85</v>
      </c>
      <c r="E61" s="9" t="b">
        <v>0</v>
      </c>
      <c r="F61" s="9" t="b">
        <v>0</v>
      </c>
      <c r="G61" s="9" t="b">
        <v>0</v>
      </c>
      <c r="H61" s="10" t="s">
        <v>5</v>
      </c>
      <c r="I61" s="11">
        <f>=IF(H61="",FALSE,IF(D61="Yes",OR(H61="No",H61="NA"),IF(D61="Yes/NA",H61="No",IF(D61="No",OR(H61="Yes",H61="NA"),FALSE))))</f>
      </c>
      <c r="J61" s="4" t="s">
        <v>5</v>
      </c>
      <c r="K61" s="4" t="s">
        <v>5</v>
      </c>
      <c r="L61" s="4" t="s">
        <v>5</v>
      </c>
      <c r="M61" s="4" t="s">
        <v>5</v>
      </c>
      <c r="N61" s="4" t="s">
        <v>225</v>
      </c>
    </row>
    <row r="62" ht="45" customHeight="1" spans="1:14" x14ac:dyDescent="0.25">
      <c r="A62" s="9" t="s">
        <v>196</v>
      </c>
      <c r="B62" s="9" t="s">
        <v>226</v>
      </c>
      <c r="C62" s="6" t="s">
        <v>227</v>
      </c>
      <c r="D62" s="9" t="s">
        <v>14</v>
      </c>
      <c r="E62" s="9" t="b">
        <v>0</v>
      </c>
      <c r="F62" s="9" t="b">
        <v>0</v>
      </c>
      <c r="G62" s="9" t="b">
        <v>0</v>
      </c>
      <c r="H62" s="10" t="s">
        <v>5</v>
      </c>
      <c r="I62" s="11">
        <f>=IF(H62="",FALSE,IF(D62="Yes",OR(H62="No",H62="NA"),IF(D62="Yes/NA",H62="No",IF(D62="No",OR(H62="Yes",H62="NA"),FALSE))))</f>
      </c>
      <c r="J62" s="4" t="s">
        <v>5</v>
      </c>
      <c r="K62" s="4" t="s">
        <v>5</v>
      </c>
      <c r="L62" s="4" t="s">
        <v>5</v>
      </c>
      <c r="M62" s="4" t="s">
        <v>5</v>
      </c>
      <c r="N62" s="4" t="s">
        <v>5</v>
      </c>
    </row>
    <row r="63" ht="45" customHeight="1" spans="1:14" x14ac:dyDescent="0.25">
      <c r="A63" s="9" t="s">
        <v>228</v>
      </c>
      <c r="B63" s="9" t="s">
        <v>229</v>
      </c>
      <c r="C63" s="6" t="s">
        <v>230</v>
      </c>
      <c r="D63" s="9" t="s">
        <v>14</v>
      </c>
      <c r="E63" s="9" t="b">
        <v>0</v>
      </c>
      <c r="F63" s="9" t="b">
        <v>0</v>
      </c>
      <c r="G63" s="9" t="b">
        <v>0</v>
      </c>
      <c r="H63" s="10" t="s">
        <v>5</v>
      </c>
      <c r="I63" s="11">
        <f>=IF(H63="",FALSE,IF(D63="Yes",OR(H63="No",H63="NA"),IF(D63="Yes/NA",H63="No",IF(D63="No",OR(H63="Yes",H63="NA"),FALSE))))</f>
      </c>
      <c r="J63" s="4" t="s">
        <v>5</v>
      </c>
      <c r="K63" s="4" t="s">
        <v>5</v>
      </c>
      <c r="L63" s="4" t="s">
        <v>5</v>
      </c>
      <c r="M63" s="4" t="s">
        <v>5</v>
      </c>
      <c r="N63" s="4" t="s">
        <v>231</v>
      </c>
    </row>
    <row r="64" ht="45" customHeight="1" spans="1:14" x14ac:dyDescent="0.25">
      <c r="A64" s="9" t="s">
        <v>228</v>
      </c>
      <c r="B64" s="9" t="s">
        <v>232</v>
      </c>
      <c r="C64" s="6" t="s">
        <v>233</v>
      </c>
      <c r="D64" s="9" t="s">
        <v>14</v>
      </c>
      <c r="E64" s="9" t="b">
        <v>0</v>
      </c>
      <c r="F64" s="9" t="b">
        <v>0</v>
      </c>
      <c r="G64" s="9" t="b">
        <v>0</v>
      </c>
      <c r="H64" s="10" t="s">
        <v>5</v>
      </c>
      <c r="I64" s="11">
        <f>=IF(H64="",FALSE,IF(D64="Yes",OR(H64="No",H64="NA"),IF(D64="Yes/NA",H64="No",IF(D64="No",OR(H64="Yes",H64="NA"),FALSE))))</f>
      </c>
      <c r="J64" s="4" t="s">
        <v>5</v>
      </c>
      <c r="K64" s="4" t="s">
        <v>5</v>
      </c>
      <c r="L64" s="4" t="s">
        <v>5</v>
      </c>
      <c r="M64" s="4" t="s">
        <v>5</v>
      </c>
      <c r="N64" s="4" t="s">
        <v>234</v>
      </c>
    </row>
    <row r="65" ht="45" customHeight="1" spans="1:14" x14ac:dyDescent="0.25">
      <c r="A65" s="9" t="s">
        <v>228</v>
      </c>
      <c r="B65" s="9" t="s">
        <v>235</v>
      </c>
      <c r="C65" s="6" t="s">
        <v>236</v>
      </c>
      <c r="D65" s="9" t="s">
        <v>14</v>
      </c>
      <c r="E65" s="9" t="b">
        <v>0</v>
      </c>
      <c r="F65" s="9" t="b">
        <v>0</v>
      </c>
      <c r="G65" s="9" t="b">
        <v>0</v>
      </c>
      <c r="H65" s="10" t="s">
        <v>5</v>
      </c>
      <c r="I65" s="11">
        <f>=IF(H65="",FALSE,IF(D65="Yes",OR(H65="No",H65="NA"),IF(D65="Yes/NA",H65="No",IF(D65="No",OR(H65="Yes",H65="NA"),FALSE))))</f>
      </c>
      <c r="J65" s="4" t="s">
        <v>5</v>
      </c>
      <c r="K65" s="4" t="s">
        <v>5</v>
      </c>
      <c r="L65" s="4" t="s">
        <v>5</v>
      </c>
      <c r="M65" s="4" t="s">
        <v>5</v>
      </c>
      <c r="N65" s="4" t="s">
        <v>237</v>
      </c>
    </row>
    <row r="66" ht="45" customHeight="1" spans="1:14" x14ac:dyDescent="0.25">
      <c r="A66" s="9" t="s">
        <v>228</v>
      </c>
      <c r="B66" s="9" t="s">
        <v>238</v>
      </c>
      <c r="C66" s="6" t="s">
        <v>239</v>
      </c>
      <c r="D66" s="9" t="s">
        <v>14</v>
      </c>
      <c r="E66" s="9" t="b">
        <v>0</v>
      </c>
      <c r="F66" s="9" t="b">
        <v>0</v>
      </c>
      <c r="G66" s="9" t="b">
        <v>0</v>
      </c>
      <c r="H66" s="10" t="s">
        <v>5</v>
      </c>
      <c r="I66" s="11">
        <f>=IF(H66="",FALSE,IF(D66="Yes",OR(H66="No",H66="NA"),IF(D66="Yes/NA",H66="No",IF(D66="No",OR(H66="Yes",H66="NA"),FALSE))))</f>
      </c>
      <c r="J66" s="4" t="s">
        <v>5</v>
      </c>
      <c r="K66" s="4" t="s">
        <v>5</v>
      </c>
      <c r="L66" s="4" t="s">
        <v>5</v>
      </c>
      <c r="M66" s="4" t="s">
        <v>5</v>
      </c>
      <c r="N66" s="4" t="s">
        <v>5</v>
      </c>
    </row>
    <row r="67" ht="45" customHeight="1" spans="1:14" x14ac:dyDescent="0.25">
      <c r="A67" s="9" t="s">
        <v>228</v>
      </c>
      <c r="B67" s="9" t="s">
        <v>240</v>
      </c>
      <c r="C67" s="6" t="s">
        <v>241</v>
      </c>
      <c r="D67" s="9" t="s">
        <v>14</v>
      </c>
      <c r="E67" s="9" t="b">
        <v>0</v>
      </c>
      <c r="F67" s="9" t="b">
        <v>0</v>
      </c>
      <c r="G67" s="9" t="b">
        <v>0</v>
      </c>
      <c r="H67" s="10" t="s">
        <v>5</v>
      </c>
      <c r="I67" s="11">
        <f>=IF(H67="",FALSE,IF(D67="Yes",OR(H67="No",H67="NA"),IF(D67="Yes/NA",H67="No",IF(D67="No",OR(H67="Yes",H67="NA"),FALSE))))</f>
      </c>
      <c r="J67" s="4" t="s">
        <v>5</v>
      </c>
      <c r="K67" s="4" t="s">
        <v>5</v>
      </c>
      <c r="L67" s="4" t="s">
        <v>5</v>
      </c>
      <c r="M67" s="4" t="s">
        <v>5</v>
      </c>
      <c r="N67" s="4" t="s">
        <v>242</v>
      </c>
    </row>
    <row r="68" ht="45" customHeight="1" spans="1:14" x14ac:dyDescent="0.25">
      <c r="A68" s="9" t="s">
        <v>228</v>
      </c>
      <c r="B68" s="9" t="s">
        <v>243</v>
      </c>
      <c r="C68" s="6" t="s">
        <v>244</v>
      </c>
      <c r="D68" s="9" t="s">
        <v>14</v>
      </c>
      <c r="E68" s="9" t="b">
        <v>0</v>
      </c>
      <c r="F68" s="9" t="b">
        <v>0</v>
      </c>
      <c r="G68" s="9" t="b">
        <v>0</v>
      </c>
      <c r="H68" s="10" t="s">
        <v>5</v>
      </c>
      <c r="I68" s="11">
        <f>=IF(H68="",FALSE,IF(D68="Yes",OR(H68="No",H68="NA"),IF(D68="Yes/NA",H68="No",IF(D68="No",OR(H68="Yes",H68="NA"),FALSE))))</f>
      </c>
      <c r="J68" s="4" t="s">
        <v>5</v>
      </c>
      <c r="K68" s="4" t="s">
        <v>5</v>
      </c>
      <c r="L68" s="4" t="s">
        <v>5</v>
      </c>
      <c r="M68" s="4" t="s">
        <v>5</v>
      </c>
      <c r="N68" s="4" t="s">
        <v>245</v>
      </c>
    </row>
    <row r="69" ht="45" customHeight="1" spans="1:14" x14ac:dyDescent="0.25">
      <c r="A69" s="9" t="s">
        <v>228</v>
      </c>
      <c r="B69" s="9" t="s">
        <v>246</v>
      </c>
      <c r="C69" s="6" t="s">
        <v>247</v>
      </c>
      <c r="D69" s="9" t="s">
        <v>14</v>
      </c>
      <c r="E69" s="9" t="b">
        <v>0</v>
      </c>
      <c r="F69" s="9" t="b">
        <v>0</v>
      </c>
      <c r="G69" s="9" t="b">
        <v>0</v>
      </c>
      <c r="H69" s="10" t="s">
        <v>5</v>
      </c>
      <c r="I69" s="11">
        <f>=IF(H69="",FALSE,IF(D69="Yes",OR(H69="No",H69="NA"),IF(D69="Yes/NA",H69="No",IF(D69="No",OR(H69="Yes",H69="NA"),FALSE))))</f>
      </c>
      <c r="J69" s="4" t="s">
        <v>5</v>
      </c>
      <c r="K69" s="4" t="s">
        <v>5</v>
      </c>
      <c r="L69" s="4" t="s">
        <v>5</v>
      </c>
      <c r="M69" s="4" t="s">
        <v>5</v>
      </c>
      <c r="N69" s="4" t="s">
        <v>248</v>
      </c>
    </row>
    <row r="70" ht="45" customHeight="1" spans="1:14" x14ac:dyDescent="0.25">
      <c r="A70" s="9" t="s">
        <v>228</v>
      </c>
      <c r="B70" s="9" t="s">
        <v>249</v>
      </c>
      <c r="C70" s="6" t="s">
        <v>250</v>
      </c>
      <c r="D70" s="9" t="s">
        <v>14</v>
      </c>
      <c r="E70" s="9" t="b">
        <v>0</v>
      </c>
      <c r="F70" s="9" t="b">
        <v>0</v>
      </c>
      <c r="G70" s="9" t="b">
        <v>0</v>
      </c>
      <c r="H70" s="10" t="s">
        <v>5</v>
      </c>
      <c r="I70" s="11">
        <f>=IF(H70="",FALSE,IF(D70="Yes",OR(H70="No",H70="NA"),IF(D70="Yes/NA",H70="No",IF(D70="No",OR(H70="Yes",H70="NA"),FALSE))))</f>
      </c>
      <c r="J70" s="4" t="s">
        <v>5</v>
      </c>
      <c r="K70" s="4" t="s">
        <v>5</v>
      </c>
      <c r="L70" s="4" t="s">
        <v>5</v>
      </c>
      <c r="M70" s="4" t="s">
        <v>5</v>
      </c>
      <c r="N70" s="4" t="s">
        <v>251</v>
      </c>
    </row>
    <row r="71" ht="45" customHeight="1" spans="1:14" x14ac:dyDescent="0.25">
      <c r="A71" s="9" t="s">
        <v>228</v>
      </c>
      <c r="B71" s="9" t="s">
        <v>252</v>
      </c>
      <c r="C71" s="6" t="s">
        <v>253</v>
      </c>
      <c r="D71" s="9" t="s">
        <v>14</v>
      </c>
      <c r="E71" s="9" t="b">
        <v>0</v>
      </c>
      <c r="F71" s="9" t="b">
        <v>0</v>
      </c>
      <c r="G71" s="9" t="b">
        <v>0</v>
      </c>
      <c r="H71" s="10" t="s">
        <v>5</v>
      </c>
      <c r="I71" s="11">
        <f>=IF(H71="",FALSE,IF(D71="Yes",OR(H71="No",H71="NA"),IF(D71="Yes/NA",H71="No",IF(D71="No",OR(H71="Yes",H71="NA"),FALSE))))</f>
      </c>
      <c r="J71" s="4" t="s">
        <v>5</v>
      </c>
      <c r="K71" s="4" t="s">
        <v>5</v>
      </c>
      <c r="L71" s="4" t="s">
        <v>5</v>
      </c>
      <c r="M71" s="4" t="s">
        <v>5</v>
      </c>
      <c r="N71" s="4" t="s">
        <v>5</v>
      </c>
    </row>
    <row r="72" ht="45" customHeight="1" spans="1:14" x14ac:dyDescent="0.25">
      <c r="A72" s="9" t="s">
        <v>228</v>
      </c>
      <c r="B72" s="9" t="s">
        <v>254</v>
      </c>
      <c r="C72" s="6" t="s">
        <v>255</v>
      </c>
      <c r="D72" s="9" t="s">
        <v>14</v>
      </c>
      <c r="E72" s="9" t="b">
        <v>0</v>
      </c>
      <c r="F72" s="9" t="b">
        <v>0</v>
      </c>
      <c r="G72" s="9" t="b">
        <v>0</v>
      </c>
      <c r="H72" s="10" t="s">
        <v>5</v>
      </c>
      <c r="I72" s="11">
        <f>=IF(H72="",FALSE,IF(D72="Yes",OR(H72="No",H72="NA"),IF(D72="Yes/NA",H72="No",IF(D72="No",OR(H72="Yes",H72="NA"),FALSE))))</f>
      </c>
      <c r="J72" s="4" t="s">
        <v>5</v>
      </c>
      <c r="K72" s="4" t="s">
        <v>5</v>
      </c>
      <c r="L72" s="4" t="s">
        <v>5</v>
      </c>
      <c r="M72" s="4" t="s">
        <v>5</v>
      </c>
      <c r="N72" s="4" t="s">
        <v>5</v>
      </c>
    </row>
    <row r="73" ht="45" customHeight="1" spans="1:14" x14ac:dyDescent="0.25">
      <c r="A73" s="9" t="s">
        <v>228</v>
      </c>
      <c r="B73" s="9" t="s">
        <v>256</v>
      </c>
      <c r="C73" s="6" t="s">
        <v>257</v>
      </c>
      <c r="D73" s="9" t="s">
        <v>14</v>
      </c>
      <c r="E73" s="9" t="b">
        <v>0</v>
      </c>
      <c r="F73" s="9" t="b">
        <v>0</v>
      </c>
      <c r="G73" s="9" t="b">
        <v>0</v>
      </c>
      <c r="H73" s="10" t="s">
        <v>5</v>
      </c>
      <c r="I73" s="11">
        <f>=IF(H73="",FALSE,IF(D73="Yes",OR(H73="No",H73="NA"),IF(D73="Yes/NA",H73="No",IF(D73="No",OR(H73="Yes",H73="NA"),FALSE))))</f>
      </c>
      <c r="J73" s="4" t="s">
        <v>5</v>
      </c>
      <c r="K73" s="4" t="s">
        <v>5</v>
      </c>
      <c r="L73" s="4" t="s">
        <v>5</v>
      </c>
      <c r="M73" s="4" t="s">
        <v>5</v>
      </c>
      <c r="N73" s="4" t="s">
        <v>258</v>
      </c>
    </row>
    <row r="74" ht="45" customHeight="1" spans="1:14" x14ac:dyDescent="0.25">
      <c r="A74" s="9" t="s">
        <v>228</v>
      </c>
      <c r="B74" s="9" t="s">
        <v>259</v>
      </c>
      <c r="C74" s="6" t="s">
        <v>260</v>
      </c>
      <c r="D74" s="9" t="s">
        <v>14</v>
      </c>
      <c r="E74" s="9" t="b">
        <v>0</v>
      </c>
      <c r="F74" s="9" t="b">
        <v>0</v>
      </c>
      <c r="G74" s="9" t="b">
        <v>0</v>
      </c>
      <c r="H74" s="10" t="s">
        <v>5</v>
      </c>
      <c r="I74" s="11">
        <f>=IF(H74="",FALSE,IF(D74="Yes",OR(H74="No",H74="NA"),IF(D74="Yes/NA",H74="No",IF(D74="No",OR(H74="Yes",H74="NA"),FALSE))))</f>
      </c>
      <c r="J74" s="4" t="s">
        <v>5</v>
      </c>
      <c r="K74" s="4" t="s">
        <v>5</v>
      </c>
      <c r="L74" s="4" t="s">
        <v>5</v>
      </c>
      <c r="M74" s="4" t="s">
        <v>5</v>
      </c>
      <c r="N74" s="4" t="s">
        <v>261</v>
      </c>
    </row>
    <row r="75" ht="45" customHeight="1" spans="1:14" x14ac:dyDescent="0.25">
      <c r="A75" s="9" t="s">
        <v>228</v>
      </c>
      <c r="B75" s="9" t="s">
        <v>262</v>
      </c>
      <c r="C75" s="6" t="s">
        <v>263</v>
      </c>
      <c r="D75" s="9" t="s">
        <v>14</v>
      </c>
      <c r="E75" s="9" t="b">
        <v>0</v>
      </c>
      <c r="F75" s="9" t="b">
        <v>0</v>
      </c>
      <c r="G75" s="9" t="b">
        <v>0</v>
      </c>
      <c r="H75" s="10" t="s">
        <v>5</v>
      </c>
      <c r="I75" s="11">
        <f>=IF(H75="",FALSE,IF(D75="Yes",OR(H75="No",H75="NA"),IF(D75="Yes/NA",H75="No",IF(D75="No",OR(H75="Yes",H75="NA"),FALSE))))</f>
      </c>
      <c r="J75" s="4" t="s">
        <v>5</v>
      </c>
      <c r="K75" s="4" t="s">
        <v>5</v>
      </c>
      <c r="L75" s="4" t="s">
        <v>5</v>
      </c>
      <c r="M75" s="4" t="s">
        <v>5</v>
      </c>
      <c r="N75" s="4" t="s">
        <v>5</v>
      </c>
    </row>
  </sheetData>
  <mergeCells count="1">
    <mergeCell ref="A1:N1"/>
  </mergeCells>
  <conditionalFormatting sqref="H3:H75">
    <cfRule type="expression" dxfId="0" priority="1">
      <formula>AND(H3&lt;&gt;"",I3=FALSE)</formula>
    </cfRule>
  </conditionalFormatting>
  <conditionalFormatting sqref="H3:H75">
    <cfRule type="expression" dxfId="1" priority="2">
      <formula>I3=TRUE</formula>
    </cfRule>
  </conditionalFormatting>
  <conditionalFormatting sqref="H3:H75">
    <cfRule type="expression" dxfId="2" priority="3">
      <formula>H3=""</formula>
    </cfRule>
  </conditionalFormatting>
  <dataValidations count="2">
    <dataValidation type="list" allowBlank="1" showErrorMessage="1" error="Please select Yes, No or NA." sqref="H10:H75">
      <formula1>"Yes,No,NA"</formula1>
    </dataValidation>
    <dataValidation type="list" allowBlank="1" showErrorMessage="1" error="Please select Yes, No or NA." sqref="H3:H75">
      <formula1>"Yes,No,NA"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2" max="2" width="14" customWidth="1"/>
    <col min="3" max="3" width="12" customWidth="1"/>
    <col min="4" max="4" width="22" customWidth="1"/>
    <col min="5" max="5" width="16" customWidth="1"/>
    <col min="6" max="6" width="12" customWidth="1"/>
    <col min="7" max="8" width="32" customWidth="1"/>
    <col min="9" max="9" width="14" customWidth="1"/>
  </cols>
  <sheetData>
    <row r="1" ht="24" customHeight="1" spans="1:9" x14ac:dyDescent="0.25">
      <c r="A1" s="12" t="s">
        <v>264</v>
      </c>
      <c r="B1" s="12"/>
      <c r="C1" s="12"/>
      <c r="D1" s="12"/>
      <c r="E1" s="12"/>
      <c r="F1" s="12"/>
      <c r="G1" s="12"/>
      <c r="H1" s="12"/>
      <c r="I1" s="12"/>
    </row>
    <row r="2" spans="1:9" x14ac:dyDescent="0.25">
      <c r="A2" s="5" t="s">
        <v>265</v>
      </c>
      <c r="B2" s="5" t="s">
        <v>266</v>
      </c>
      <c r="C2" s="5" t="s">
        <v>267</v>
      </c>
      <c r="D2" s="5" t="s">
        <v>268</v>
      </c>
      <c r="E2" s="5" t="s">
        <v>269</v>
      </c>
      <c r="F2" s="5" t="s">
        <v>270</v>
      </c>
      <c r="G2" s="5" t="s">
        <v>271</v>
      </c>
      <c r="H2" s="5" t="s">
        <v>272</v>
      </c>
      <c r="I2" s="5" t="s">
        <v>273</v>
      </c>
    </row>
    <row r="3" ht="36" customHeight="1" spans="1:9" x14ac:dyDescent="0.25">
      <c r="A3" s="4" t="s">
        <v>5</v>
      </c>
      <c r="B3" s="4" t="s">
        <v>5</v>
      </c>
      <c r="C3" s="4" t="s">
        <v>5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</row>
    <row r="4" ht="36" customHeight="1" spans="1:9" x14ac:dyDescent="0.25">
      <c r="A4" s="4" t="s">
        <v>5</v>
      </c>
      <c r="B4" s="4" t="s">
        <v>5</v>
      </c>
      <c r="C4" s="4" t="s">
        <v>5</v>
      </c>
      <c r="D4" s="4" t="s">
        <v>5</v>
      </c>
      <c r="E4" s="4" t="s">
        <v>5</v>
      </c>
      <c r="F4" s="4" t="s">
        <v>5</v>
      </c>
      <c r="G4" s="4" t="s">
        <v>5</v>
      </c>
      <c r="H4" s="4" t="s">
        <v>5</v>
      </c>
      <c r="I4" s="4" t="s">
        <v>5</v>
      </c>
    </row>
    <row r="5" ht="36" customHeight="1" spans="1:9" x14ac:dyDescent="0.25">
      <c r="A5" s="4" t="s">
        <v>5</v>
      </c>
      <c r="B5" s="4" t="s">
        <v>5</v>
      </c>
      <c r="C5" s="4" t="s">
        <v>5</v>
      </c>
      <c r="D5" s="4" t="s">
        <v>5</v>
      </c>
      <c r="E5" s="4" t="s">
        <v>5</v>
      </c>
      <c r="F5" s="4" t="s">
        <v>5</v>
      </c>
      <c r="G5" s="4" t="s">
        <v>5</v>
      </c>
      <c r="H5" s="4" t="s">
        <v>5</v>
      </c>
      <c r="I5" s="4" t="s">
        <v>5</v>
      </c>
    </row>
    <row r="6" ht="36" customHeight="1" spans="1:9" x14ac:dyDescent="0.25">
      <c r="A6" s="4" t="s">
        <v>5</v>
      </c>
      <c r="B6" s="4" t="s">
        <v>5</v>
      </c>
      <c r="C6" s="4" t="s">
        <v>5</v>
      </c>
      <c r="D6" s="4" t="s">
        <v>5</v>
      </c>
      <c r="E6" s="4" t="s">
        <v>5</v>
      </c>
      <c r="F6" s="4" t="s">
        <v>5</v>
      </c>
      <c r="G6" s="4" t="s">
        <v>5</v>
      </c>
      <c r="H6" s="4" t="s">
        <v>5</v>
      </c>
      <c r="I6" s="4" t="s">
        <v>5</v>
      </c>
    </row>
    <row r="7" ht="36" customHeight="1" spans="1:9" x14ac:dyDescent="0.25">
      <c r="A7" s="4" t="s">
        <v>5</v>
      </c>
      <c r="B7" s="4" t="s">
        <v>5</v>
      </c>
      <c r="C7" s="4" t="s">
        <v>5</v>
      </c>
      <c r="D7" s="4" t="s">
        <v>5</v>
      </c>
      <c r="E7" s="4" t="s">
        <v>5</v>
      </c>
      <c r="F7" s="4" t="s">
        <v>5</v>
      </c>
      <c r="G7" s="4" t="s">
        <v>5</v>
      </c>
      <c r="H7" s="4" t="s">
        <v>5</v>
      </c>
      <c r="I7" s="4" t="s">
        <v>5</v>
      </c>
    </row>
    <row r="8" ht="36" customHeight="1" spans="1:9" x14ac:dyDescent="0.25">
      <c r="A8" s="4" t="s">
        <v>5</v>
      </c>
      <c r="B8" s="4" t="s">
        <v>5</v>
      </c>
      <c r="C8" s="4" t="s">
        <v>5</v>
      </c>
      <c r="D8" s="4" t="s">
        <v>5</v>
      </c>
      <c r="E8" s="4" t="s">
        <v>5</v>
      </c>
      <c r="F8" s="4" t="s">
        <v>5</v>
      </c>
      <c r="G8" s="4" t="s">
        <v>5</v>
      </c>
      <c r="H8" s="4" t="s">
        <v>5</v>
      </c>
      <c r="I8" s="4" t="s">
        <v>5</v>
      </c>
    </row>
    <row r="9" ht="36" customHeight="1" spans="1:9" x14ac:dyDescent="0.25">
      <c r="A9" s="4" t="s">
        <v>5</v>
      </c>
      <c r="B9" s="4" t="s">
        <v>5</v>
      </c>
      <c r="C9" s="4" t="s">
        <v>5</v>
      </c>
      <c r="D9" s="4" t="s">
        <v>5</v>
      </c>
      <c r="E9" s="4" t="s">
        <v>5</v>
      </c>
      <c r="F9" s="4" t="s">
        <v>5</v>
      </c>
      <c r="G9" s="4" t="s">
        <v>5</v>
      </c>
      <c r="H9" s="4" t="s">
        <v>5</v>
      </c>
      <c r="I9" s="4" t="s">
        <v>5</v>
      </c>
    </row>
    <row r="10" ht="36" customHeight="1" spans="1:9" x14ac:dyDescent="0.25">
      <c r="A10" s="4" t="s">
        <v>5</v>
      </c>
      <c r="B10" s="4" t="s">
        <v>5</v>
      </c>
      <c r="C10" s="4" t="s">
        <v>5</v>
      </c>
      <c r="D10" s="4" t="s">
        <v>5</v>
      </c>
      <c r="E10" s="4" t="s">
        <v>5</v>
      </c>
      <c r="F10" s="4" t="s">
        <v>5</v>
      </c>
      <c r="G10" s="4" t="s">
        <v>5</v>
      </c>
      <c r="H10" s="4" t="s">
        <v>5</v>
      </c>
      <c r="I10" s="4" t="s">
        <v>5</v>
      </c>
    </row>
    <row r="11" ht="36" customHeight="1" spans="1:9" x14ac:dyDescent="0.25">
      <c r="A11" s="4" t="s">
        <v>5</v>
      </c>
      <c r="B11" s="4" t="s">
        <v>5</v>
      </c>
      <c r="C11" s="4" t="s">
        <v>5</v>
      </c>
      <c r="D11" s="4" t="s">
        <v>5</v>
      </c>
      <c r="E11" s="4" t="s">
        <v>5</v>
      </c>
      <c r="F11" s="4" t="s">
        <v>5</v>
      </c>
      <c r="G11" s="4" t="s">
        <v>5</v>
      </c>
      <c r="H11" s="4" t="s">
        <v>5</v>
      </c>
      <c r="I11" s="4" t="s">
        <v>5</v>
      </c>
    </row>
    <row r="12" ht="36" customHeight="1" spans="1:9" x14ac:dyDescent="0.25">
      <c r="A12" s="4" t="s">
        <v>5</v>
      </c>
      <c r="B12" s="4" t="s">
        <v>5</v>
      </c>
      <c r="C12" s="4" t="s">
        <v>5</v>
      </c>
      <c r="D12" s="4" t="s">
        <v>5</v>
      </c>
      <c r="E12" s="4" t="s">
        <v>5</v>
      </c>
      <c r="F12" s="4" t="s">
        <v>5</v>
      </c>
      <c r="G12" s="4" t="s">
        <v>5</v>
      </c>
      <c r="H12" s="4" t="s">
        <v>5</v>
      </c>
      <c r="I12" s="4" t="s">
        <v>5</v>
      </c>
    </row>
    <row r="13" ht="36" customHeight="1" spans="1:9" x14ac:dyDescent="0.25">
      <c r="A13" s="4" t="s">
        <v>5</v>
      </c>
      <c r="B13" s="4" t="s">
        <v>5</v>
      </c>
      <c r="C13" s="4" t="s">
        <v>5</v>
      </c>
      <c r="D13" s="4" t="s">
        <v>5</v>
      </c>
      <c r="E13" s="4" t="s">
        <v>5</v>
      </c>
      <c r="F13" s="4" t="s">
        <v>5</v>
      </c>
      <c r="G13" s="4" t="s">
        <v>5</v>
      </c>
      <c r="H13" s="4" t="s">
        <v>5</v>
      </c>
      <c r="I13" s="4" t="s">
        <v>5</v>
      </c>
    </row>
    <row r="14" ht="36" customHeight="1" spans="1:9" x14ac:dyDescent="0.25">
      <c r="A14" s="4" t="s">
        <v>5</v>
      </c>
      <c r="B14" s="4" t="s">
        <v>5</v>
      </c>
      <c r="C14" s="4" t="s">
        <v>5</v>
      </c>
      <c r="D14" s="4" t="s">
        <v>5</v>
      </c>
      <c r="E14" s="4" t="s">
        <v>5</v>
      </c>
      <c r="F14" s="4" t="s">
        <v>5</v>
      </c>
      <c r="G14" s="4" t="s">
        <v>5</v>
      </c>
      <c r="H14" s="4" t="s">
        <v>5</v>
      </c>
      <c r="I14" s="4" t="s">
        <v>5</v>
      </c>
    </row>
    <row r="15" ht="36" customHeight="1" spans="1:9" x14ac:dyDescent="0.25">
      <c r="A15" s="4" t="s">
        <v>5</v>
      </c>
      <c r="B15" s="4" t="s">
        <v>5</v>
      </c>
      <c r="C15" s="4" t="s">
        <v>5</v>
      </c>
      <c r="D15" s="4" t="s">
        <v>5</v>
      </c>
      <c r="E15" s="4" t="s">
        <v>5</v>
      </c>
      <c r="F15" s="4" t="s">
        <v>5</v>
      </c>
      <c r="G15" s="4" t="s">
        <v>5</v>
      </c>
      <c r="H15" s="4" t="s">
        <v>5</v>
      </c>
      <c r="I15" s="4" t="s">
        <v>5</v>
      </c>
    </row>
    <row r="16" ht="36" customHeight="1" spans="1:9" x14ac:dyDescent="0.25">
      <c r="A16" s="4" t="s">
        <v>5</v>
      </c>
      <c r="B16" s="4" t="s">
        <v>5</v>
      </c>
      <c r="C16" s="4" t="s">
        <v>5</v>
      </c>
      <c r="D16" s="4" t="s">
        <v>5</v>
      </c>
      <c r="E16" s="4" t="s">
        <v>5</v>
      </c>
      <c r="F16" s="4" t="s">
        <v>5</v>
      </c>
      <c r="G16" s="4" t="s">
        <v>5</v>
      </c>
      <c r="H16" s="4" t="s">
        <v>5</v>
      </c>
      <c r="I16" s="4" t="s">
        <v>5</v>
      </c>
    </row>
    <row r="17" ht="36" customHeight="1" spans="1:9" x14ac:dyDescent="0.25">
      <c r="A17" s="4" t="s">
        <v>5</v>
      </c>
      <c r="B17" s="4" t="s">
        <v>5</v>
      </c>
      <c r="C17" s="4" t="s">
        <v>5</v>
      </c>
      <c r="D17" s="4" t="s">
        <v>5</v>
      </c>
      <c r="E17" s="4" t="s">
        <v>5</v>
      </c>
      <c r="F17" s="4" t="s">
        <v>5</v>
      </c>
      <c r="G17" s="4" t="s">
        <v>5</v>
      </c>
      <c r="H17" s="4" t="s">
        <v>5</v>
      </c>
      <c r="I17" s="4" t="s">
        <v>5</v>
      </c>
    </row>
    <row r="18" ht="36" customHeight="1" spans="1:9" x14ac:dyDescent="0.25">
      <c r="A18" s="4" t="s">
        <v>5</v>
      </c>
      <c r="B18" s="4" t="s">
        <v>5</v>
      </c>
      <c r="C18" s="4" t="s">
        <v>5</v>
      </c>
      <c r="D18" s="4" t="s">
        <v>5</v>
      </c>
      <c r="E18" s="4" t="s">
        <v>5</v>
      </c>
      <c r="F18" s="4" t="s">
        <v>5</v>
      </c>
      <c r="G18" s="4" t="s">
        <v>5</v>
      </c>
      <c r="H18" s="4" t="s">
        <v>5</v>
      </c>
      <c r="I18" s="4" t="s">
        <v>5</v>
      </c>
    </row>
  </sheetData>
  <mergeCells count="1">
    <mergeCell ref="A1:I1"/>
  </mergeCells>
  <conditionalFormatting sqref="C3:C18">
    <cfRule type="containsText" dxfId="3" priority="1">
      <formula>NOT(ISERROR(SEARCH("Critical",C3)))</formula>
    </cfRule>
    <cfRule type="containsText" dxfId="4" priority="2">
      <formula>NOT(ISERROR(SEARCH("Major",C3)))</formula>
    </cfRule>
    <cfRule type="containsText" dxfId="5" priority="3">
      <formula>NOT(ISERROR(SEARCH("Minor",C3)))</formula>
    </cfRule>
  </conditionalFormatting>
  <dataValidations count="2">
    <dataValidation type="list" allowBlank="1" sqref="C10:C18">
      <formula1>"Critical,Major,Minor"</formula1>
    </dataValidation>
    <dataValidation type="list" allowBlank="1" sqref="C3:C18">
      <formula1>"Critical,Major,Minor"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FormatPr defaultRowHeight="15" outlineLevelRow="0" outlineLevelCol="0" x14ac:dyDescent="55"/>
  <cols>
    <col min="2" max="2" width="12" customWidth="1"/>
    <col min="3" max="3" width="16" customWidth="1"/>
    <col min="4" max="4" width="22" customWidth="1"/>
    <col min="5" max="5" width="32" customWidth="1"/>
    <col min="6" max="6" width="16" customWidth="1"/>
    <col min="7" max="7" width="12" customWidth="1"/>
    <col min="8" max="8" width="32" customWidth="1"/>
    <col min="9" max="9" width="16" customWidth="1"/>
    <col min="10" max="10" width="22" customWidth="1"/>
    <col min="11" max="11" width="18" customWidth="1"/>
  </cols>
  <sheetData>
    <row r="1" ht="24" customHeight="1" spans="1:11" x14ac:dyDescent="0.25">
      <c r="A1" s="12" t="s">
        <v>274</v>
      </c>
      <c r="B1" s="12"/>
      <c r="C1" s="12"/>
      <c r="D1" s="12"/>
      <c r="E1" s="12"/>
      <c r="F1" s="12"/>
      <c r="G1" s="12"/>
      <c r="H1" s="12"/>
      <c r="I1" s="12"/>
      <c r="J1" s="12"/>
      <c r="K1" s="12"/>
    </row>
    <row r="2" spans="1:11" x14ac:dyDescent="0.25">
      <c r="A2" s="5" t="s">
        <v>275</v>
      </c>
      <c r="B2" s="5" t="s">
        <v>276</v>
      </c>
      <c r="C2" s="5" t="s">
        <v>277</v>
      </c>
      <c r="D2" s="5" t="s">
        <v>268</v>
      </c>
      <c r="E2" s="5" t="s">
        <v>278</v>
      </c>
      <c r="F2" s="5" t="s">
        <v>269</v>
      </c>
      <c r="G2" s="5" t="s">
        <v>270</v>
      </c>
      <c r="H2" s="5" t="s">
        <v>279</v>
      </c>
      <c r="I2" s="5" t="s">
        <v>280</v>
      </c>
      <c r="J2" s="5" t="s">
        <v>281</v>
      </c>
      <c r="K2" s="5" t="s">
        <v>282</v>
      </c>
    </row>
    <row r="3" ht="36" customHeight="1" spans="1:11" x14ac:dyDescent="0.25">
      <c r="A3" s="4" t="s">
        <v>5</v>
      </c>
      <c r="B3" s="4" t="s">
        <v>5</v>
      </c>
      <c r="C3" s="4" t="s">
        <v>5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  <c r="K3" s="4" t="s">
        <v>5</v>
      </c>
    </row>
    <row r="4" ht="36" customHeight="1" spans="1:11" x14ac:dyDescent="0.25">
      <c r="A4" s="4" t="s">
        <v>5</v>
      </c>
      <c r="B4" s="4" t="s">
        <v>5</v>
      </c>
      <c r="C4" s="4" t="s">
        <v>5</v>
      </c>
      <c r="D4" s="4" t="s">
        <v>5</v>
      </c>
      <c r="E4" s="4" t="s">
        <v>5</v>
      </c>
      <c r="F4" s="4" t="s">
        <v>5</v>
      </c>
      <c r="G4" s="4" t="s">
        <v>5</v>
      </c>
      <c r="H4" s="4" t="s">
        <v>5</v>
      </c>
      <c r="I4" s="4" t="s">
        <v>5</v>
      </c>
      <c r="J4" s="4" t="s">
        <v>5</v>
      </c>
      <c r="K4" s="4" t="s">
        <v>5</v>
      </c>
    </row>
    <row r="5" ht="36" customHeight="1" spans="1:11" x14ac:dyDescent="0.25">
      <c r="A5" s="4" t="s">
        <v>5</v>
      </c>
      <c r="B5" s="4" t="s">
        <v>5</v>
      </c>
      <c r="C5" s="4" t="s">
        <v>5</v>
      </c>
      <c r="D5" s="4" t="s">
        <v>5</v>
      </c>
      <c r="E5" s="4" t="s">
        <v>5</v>
      </c>
      <c r="F5" s="4" t="s">
        <v>5</v>
      </c>
      <c r="G5" s="4" t="s">
        <v>5</v>
      </c>
      <c r="H5" s="4" t="s">
        <v>5</v>
      </c>
      <c r="I5" s="4" t="s">
        <v>5</v>
      </c>
      <c r="J5" s="4" t="s">
        <v>5</v>
      </c>
      <c r="K5" s="4" t="s">
        <v>5</v>
      </c>
    </row>
    <row r="6" ht="36" customHeight="1" spans="1:11" x14ac:dyDescent="0.25">
      <c r="A6" s="4" t="s">
        <v>5</v>
      </c>
      <c r="B6" s="4" t="s">
        <v>5</v>
      </c>
      <c r="C6" s="4" t="s">
        <v>5</v>
      </c>
      <c r="D6" s="4" t="s">
        <v>5</v>
      </c>
      <c r="E6" s="4" t="s">
        <v>5</v>
      </c>
      <c r="F6" s="4" t="s">
        <v>5</v>
      </c>
      <c r="G6" s="4" t="s">
        <v>5</v>
      </c>
      <c r="H6" s="4" t="s">
        <v>5</v>
      </c>
      <c r="I6" s="4" t="s">
        <v>5</v>
      </c>
      <c r="J6" s="4" t="s">
        <v>5</v>
      </c>
      <c r="K6" s="4" t="s">
        <v>5</v>
      </c>
    </row>
    <row r="7" ht="36" customHeight="1" spans="1:11" x14ac:dyDescent="0.25">
      <c r="A7" s="4" t="s">
        <v>5</v>
      </c>
      <c r="B7" s="4" t="s">
        <v>5</v>
      </c>
      <c r="C7" s="4" t="s">
        <v>5</v>
      </c>
      <c r="D7" s="4" t="s">
        <v>5</v>
      </c>
      <c r="E7" s="4" t="s">
        <v>5</v>
      </c>
      <c r="F7" s="4" t="s">
        <v>5</v>
      </c>
      <c r="G7" s="4" t="s">
        <v>5</v>
      </c>
      <c r="H7" s="4" t="s">
        <v>5</v>
      </c>
      <c r="I7" s="4" t="s">
        <v>5</v>
      </c>
      <c r="J7" s="4" t="s">
        <v>5</v>
      </c>
      <c r="K7" s="4" t="s">
        <v>5</v>
      </c>
    </row>
    <row r="8" ht="36" customHeight="1" spans="1:11" x14ac:dyDescent="0.25">
      <c r="A8" s="4" t="s">
        <v>5</v>
      </c>
      <c r="B8" s="4" t="s">
        <v>5</v>
      </c>
      <c r="C8" s="4" t="s">
        <v>5</v>
      </c>
      <c r="D8" s="4" t="s">
        <v>5</v>
      </c>
      <c r="E8" s="4" t="s">
        <v>5</v>
      </c>
      <c r="F8" s="4" t="s">
        <v>5</v>
      </c>
      <c r="G8" s="4" t="s">
        <v>5</v>
      </c>
      <c r="H8" s="4" t="s">
        <v>5</v>
      </c>
      <c r="I8" s="4" t="s">
        <v>5</v>
      </c>
      <c r="J8" s="4" t="s">
        <v>5</v>
      </c>
      <c r="K8" s="4" t="s">
        <v>5</v>
      </c>
    </row>
    <row r="9" ht="36" customHeight="1" spans="1:11" x14ac:dyDescent="0.25">
      <c r="A9" s="4" t="s">
        <v>5</v>
      </c>
      <c r="B9" s="4" t="s">
        <v>5</v>
      </c>
      <c r="C9" s="4" t="s">
        <v>5</v>
      </c>
      <c r="D9" s="4" t="s">
        <v>5</v>
      </c>
      <c r="E9" s="4" t="s">
        <v>5</v>
      </c>
      <c r="F9" s="4" t="s">
        <v>5</v>
      </c>
      <c r="G9" s="4" t="s">
        <v>5</v>
      </c>
      <c r="H9" s="4" t="s">
        <v>5</v>
      </c>
      <c r="I9" s="4" t="s">
        <v>5</v>
      </c>
      <c r="J9" s="4" t="s">
        <v>5</v>
      </c>
      <c r="K9" s="4" t="s">
        <v>5</v>
      </c>
    </row>
    <row r="10" ht="36" customHeight="1" spans="1:11" x14ac:dyDescent="0.25">
      <c r="A10" s="4" t="s">
        <v>5</v>
      </c>
      <c r="B10" s="4" t="s">
        <v>5</v>
      </c>
      <c r="C10" s="4" t="s">
        <v>5</v>
      </c>
      <c r="D10" s="4" t="s">
        <v>5</v>
      </c>
      <c r="E10" s="4" t="s">
        <v>5</v>
      </c>
      <c r="F10" s="4" t="s">
        <v>5</v>
      </c>
      <c r="G10" s="4" t="s">
        <v>5</v>
      </c>
      <c r="H10" s="4" t="s">
        <v>5</v>
      </c>
      <c r="I10" s="4" t="s">
        <v>5</v>
      </c>
      <c r="J10" s="4" t="s">
        <v>5</v>
      </c>
      <c r="K10" s="4" t="s">
        <v>5</v>
      </c>
    </row>
    <row r="11" ht="36" customHeight="1" spans="1:11" x14ac:dyDescent="0.25">
      <c r="A11" s="4" t="s">
        <v>5</v>
      </c>
      <c r="B11" s="4" t="s">
        <v>5</v>
      </c>
      <c r="C11" s="4" t="s">
        <v>5</v>
      </c>
      <c r="D11" s="4" t="s">
        <v>5</v>
      </c>
      <c r="E11" s="4" t="s">
        <v>5</v>
      </c>
      <c r="F11" s="4" t="s">
        <v>5</v>
      </c>
      <c r="G11" s="4" t="s">
        <v>5</v>
      </c>
      <c r="H11" s="4" t="s">
        <v>5</v>
      </c>
      <c r="I11" s="4" t="s">
        <v>5</v>
      </c>
      <c r="J11" s="4" t="s">
        <v>5</v>
      </c>
      <c r="K11" s="4" t="s">
        <v>5</v>
      </c>
    </row>
    <row r="12" ht="36" customHeight="1" spans="1:11" x14ac:dyDescent="0.25">
      <c r="A12" s="4" t="s">
        <v>5</v>
      </c>
      <c r="B12" s="4" t="s">
        <v>5</v>
      </c>
      <c r="C12" s="4" t="s">
        <v>5</v>
      </c>
      <c r="D12" s="4" t="s">
        <v>5</v>
      </c>
      <c r="E12" s="4" t="s">
        <v>5</v>
      </c>
      <c r="F12" s="4" t="s">
        <v>5</v>
      </c>
      <c r="G12" s="4" t="s">
        <v>5</v>
      </c>
      <c r="H12" s="4" t="s">
        <v>5</v>
      </c>
      <c r="I12" s="4" t="s">
        <v>5</v>
      </c>
      <c r="J12" s="4" t="s">
        <v>5</v>
      </c>
      <c r="K12" s="4" t="s">
        <v>5</v>
      </c>
    </row>
    <row r="13" ht="36" customHeight="1" spans="1:11" x14ac:dyDescent="0.25">
      <c r="A13" s="4" t="s">
        <v>5</v>
      </c>
      <c r="B13" s="4" t="s">
        <v>5</v>
      </c>
      <c r="C13" s="4" t="s">
        <v>5</v>
      </c>
      <c r="D13" s="4" t="s">
        <v>5</v>
      </c>
      <c r="E13" s="4" t="s">
        <v>5</v>
      </c>
      <c r="F13" s="4" t="s">
        <v>5</v>
      </c>
      <c r="G13" s="4" t="s">
        <v>5</v>
      </c>
      <c r="H13" s="4" t="s">
        <v>5</v>
      </c>
      <c r="I13" s="4" t="s">
        <v>5</v>
      </c>
      <c r="J13" s="4" t="s">
        <v>5</v>
      </c>
      <c r="K13" s="4" t="s">
        <v>5</v>
      </c>
    </row>
    <row r="14" ht="36" customHeight="1" spans="1:11" x14ac:dyDescent="0.25">
      <c r="A14" s="4" t="s">
        <v>5</v>
      </c>
      <c r="B14" s="4" t="s">
        <v>5</v>
      </c>
      <c r="C14" s="4" t="s">
        <v>5</v>
      </c>
      <c r="D14" s="4" t="s">
        <v>5</v>
      </c>
      <c r="E14" s="4" t="s">
        <v>5</v>
      </c>
      <c r="F14" s="4" t="s">
        <v>5</v>
      </c>
      <c r="G14" s="4" t="s">
        <v>5</v>
      </c>
      <c r="H14" s="4" t="s">
        <v>5</v>
      </c>
      <c r="I14" s="4" t="s">
        <v>5</v>
      </c>
      <c r="J14" s="4" t="s">
        <v>5</v>
      </c>
      <c r="K14" s="4" t="s">
        <v>5</v>
      </c>
    </row>
    <row r="15" ht="36" customHeight="1" spans="1:11" x14ac:dyDescent="0.25">
      <c r="A15" s="4" t="s">
        <v>5</v>
      </c>
      <c r="B15" s="4" t="s">
        <v>5</v>
      </c>
      <c r="C15" s="4" t="s">
        <v>5</v>
      </c>
      <c r="D15" s="4" t="s">
        <v>5</v>
      </c>
      <c r="E15" s="4" t="s">
        <v>5</v>
      </c>
      <c r="F15" s="4" t="s">
        <v>5</v>
      </c>
      <c r="G15" s="4" t="s">
        <v>5</v>
      </c>
      <c r="H15" s="4" t="s">
        <v>5</v>
      </c>
      <c r="I15" s="4" t="s">
        <v>5</v>
      </c>
      <c r="J15" s="4" t="s">
        <v>5</v>
      </c>
      <c r="K15" s="4" t="s">
        <v>5</v>
      </c>
    </row>
    <row r="16" ht="36" customHeight="1" spans="1:11" x14ac:dyDescent="0.25">
      <c r="A16" s="4" t="s">
        <v>5</v>
      </c>
      <c r="B16" s="4" t="s">
        <v>5</v>
      </c>
      <c r="C16" s="4" t="s">
        <v>5</v>
      </c>
      <c r="D16" s="4" t="s">
        <v>5</v>
      </c>
      <c r="E16" s="4" t="s">
        <v>5</v>
      </c>
      <c r="F16" s="4" t="s">
        <v>5</v>
      </c>
      <c r="G16" s="4" t="s">
        <v>5</v>
      </c>
      <c r="H16" s="4" t="s">
        <v>5</v>
      </c>
      <c r="I16" s="4" t="s">
        <v>5</v>
      </c>
      <c r="J16" s="4" t="s">
        <v>5</v>
      </c>
      <c r="K16" s="4" t="s">
        <v>5</v>
      </c>
    </row>
    <row r="17" ht="36" customHeight="1" spans="1:11" x14ac:dyDescent="0.25">
      <c r="A17" s="4" t="s">
        <v>5</v>
      </c>
      <c r="B17" s="4" t="s">
        <v>5</v>
      </c>
      <c r="C17" s="4" t="s">
        <v>5</v>
      </c>
      <c r="D17" s="4" t="s">
        <v>5</v>
      </c>
      <c r="E17" s="4" t="s">
        <v>5</v>
      </c>
      <c r="F17" s="4" t="s">
        <v>5</v>
      </c>
      <c r="G17" s="4" t="s">
        <v>5</v>
      </c>
      <c r="H17" s="4" t="s">
        <v>5</v>
      </c>
      <c r="I17" s="4" t="s">
        <v>5</v>
      </c>
      <c r="J17" s="4" t="s">
        <v>5</v>
      </c>
      <c r="K17" s="4" t="s">
        <v>5</v>
      </c>
    </row>
    <row r="18" ht="36" customHeight="1" spans="1:11" x14ac:dyDescent="0.25">
      <c r="A18" s="4" t="s">
        <v>5</v>
      </c>
      <c r="B18" s="4" t="s">
        <v>5</v>
      </c>
      <c r="C18" s="4" t="s">
        <v>5</v>
      </c>
      <c r="D18" s="4" t="s">
        <v>5</v>
      </c>
      <c r="E18" s="4" t="s">
        <v>5</v>
      </c>
      <c r="F18" s="4" t="s">
        <v>5</v>
      </c>
      <c r="G18" s="4" t="s">
        <v>5</v>
      </c>
      <c r="H18" s="4" t="s">
        <v>5</v>
      </c>
      <c r="I18" s="4" t="s">
        <v>5</v>
      </c>
      <c r="J18" s="4" t="s">
        <v>5</v>
      </c>
      <c r="K18" s="4" t="s">
        <v>5</v>
      </c>
    </row>
  </sheetData>
  <mergeCells count="1">
    <mergeCell ref="A1:K1"/>
  </mergeCells>
  <dataValidations count="2">
    <dataValidation type="list" allowBlank="1" sqref="B10:B18">
      <formula1>"High,Medium,Low"</formula1>
    </dataValidation>
    <dataValidation type="list" allowBlank="1" sqref="B3:B18">
      <formula1>"High,Medium,Low"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FormatPr defaultRowHeight="15" outlineLevelRow="0" outlineLevelCol="0" x14ac:dyDescent="55"/>
  <cols>
    <col min="1" max="1" width="40" customWidth="1"/>
    <col min="2" max="2" width="22" customWidth="1"/>
    <col min="3" max="3" width="14" customWidth="1"/>
    <col min="4" max="5" width="16" customWidth="1"/>
    <col min="6" max="6" width="40" customWidth="1"/>
  </cols>
  <sheetData>
    <row r="1" ht="24" customHeight="1" spans="1:6" x14ac:dyDescent="0.25">
      <c r="A1" s="12" t="s">
        <v>283</v>
      </c>
      <c r="B1" s="12"/>
      <c r="C1" s="12"/>
      <c r="D1" s="12"/>
      <c r="E1" s="12"/>
      <c r="F1" s="12"/>
    </row>
    <row r="2" spans="1:6" x14ac:dyDescent="0.25">
      <c r="A2" s="5" t="s">
        <v>284</v>
      </c>
      <c r="B2" s="5" t="s">
        <v>285</v>
      </c>
      <c r="C2" s="5" t="s">
        <v>270</v>
      </c>
      <c r="D2" s="5" t="s">
        <v>277</v>
      </c>
      <c r="E2" s="5" t="s">
        <v>286</v>
      </c>
      <c r="F2" s="5" t="s">
        <v>287</v>
      </c>
    </row>
    <row r="3" ht="30" customHeight="1" spans="1:6" x14ac:dyDescent="0.25">
      <c r="A3" s="4" t="s">
        <v>5</v>
      </c>
      <c r="B3" s="4" t="s">
        <v>5</v>
      </c>
      <c r="C3" s="4" t="s">
        <v>5</v>
      </c>
      <c r="D3" s="4" t="s">
        <v>5</v>
      </c>
      <c r="E3" s="4" t="s">
        <v>5</v>
      </c>
      <c r="F3" s="4" t="s">
        <v>5</v>
      </c>
    </row>
    <row r="4" ht="30" customHeight="1" spans="1:6" x14ac:dyDescent="0.25">
      <c r="A4" s="4" t="s">
        <v>5</v>
      </c>
      <c r="B4" s="4" t="s">
        <v>5</v>
      </c>
      <c r="C4" s="4" t="s">
        <v>5</v>
      </c>
      <c r="D4" s="4" t="s">
        <v>5</v>
      </c>
      <c r="E4" s="4" t="s">
        <v>5</v>
      </c>
      <c r="F4" s="4" t="s">
        <v>5</v>
      </c>
    </row>
    <row r="5" ht="30" customHeight="1" spans="1:6" x14ac:dyDescent="0.25">
      <c r="A5" s="4" t="s">
        <v>5</v>
      </c>
      <c r="B5" s="4" t="s">
        <v>5</v>
      </c>
      <c r="C5" s="4" t="s">
        <v>5</v>
      </c>
      <c r="D5" s="4" t="s">
        <v>5</v>
      </c>
      <c r="E5" s="4" t="s">
        <v>5</v>
      </c>
      <c r="F5" s="4" t="s">
        <v>5</v>
      </c>
    </row>
    <row r="6" ht="30" customHeight="1" spans="1:6" x14ac:dyDescent="0.25">
      <c r="A6" s="4" t="s">
        <v>5</v>
      </c>
      <c r="B6" s="4" t="s">
        <v>5</v>
      </c>
      <c r="C6" s="4" t="s">
        <v>5</v>
      </c>
      <c r="D6" s="4" t="s">
        <v>5</v>
      </c>
      <c r="E6" s="4" t="s">
        <v>5</v>
      </c>
      <c r="F6" s="4" t="s">
        <v>5</v>
      </c>
    </row>
    <row r="7" ht="30" customHeight="1" spans="1:6" x14ac:dyDescent="0.25">
      <c r="A7" s="4" t="s">
        <v>5</v>
      </c>
      <c r="B7" s="4" t="s">
        <v>5</v>
      </c>
      <c r="C7" s="4" t="s">
        <v>5</v>
      </c>
      <c r="D7" s="4" t="s">
        <v>5</v>
      </c>
      <c r="E7" s="4" t="s">
        <v>5</v>
      </c>
      <c r="F7" s="4" t="s">
        <v>5</v>
      </c>
    </row>
    <row r="8" ht="30" customHeight="1" spans="1:6" x14ac:dyDescent="0.25">
      <c r="A8" s="4" t="s">
        <v>5</v>
      </c>
      <c r="B8" s="4" t="s">
        <v>5</v>
      </c>
      <c r="C8" s="4" t="s">
        <v>5</v>
      </c>
      <c r="D8" s="4" t="s">
        <v>5</v>
      </c>
      <c r="E8" s="4" t="s">
        <v>5</v>
      </c>
      <c r="F8" s="4" t="s">
        <v>5</v>
      </c>
    </row>
    <row r="9" ht="30" customHeight="1" spans="1:6" x14ac:dyDescent="0.25">
      <c r="A9" s="4" t="s">
        <v>5</v>
      </c>
      <c r="B9" s="4" t="s">
        <v>5</v>
      </c>
      <c r="C9" s="4" t="s">
        <v>5</v>
      </c>
      <c r="D9" s="4" t="s">
        <v>5</v>
      </c>
      <c r="E9" s="4" t="s">
        <v>5</v>
      </c>
      <c r="F9" s="4" t="s">
        <v>5</v>
      </c>
    </row>
    <row r="10" ht="30" customHeight="1" spans="1:6" x14ac:dyDescent="0.25">
      <c r="A10" s="4" t="s">
        <v>5</v>
      </c>
      <c r="B10" s="4" t="s">
        <v>5</v>
      </c>
      <c r="C10" s="4" t="s">
        <v>5</v>
      </c>
      <c r="D10" s="4" t="s">
        <v>5</v>
      </c>
      <c r="E10" s="4" t="s">
        <v>5</v>
      </c>
      <c r="F10" s="4" t="s">
        <v>5</v>
      </c>
    </row>
    <row r="11" ht="30" customHeight="1" spans="1:6" x14ac:dyDescent="0.25">
      <c r="A11" s="4" t="s">
        <v>5</v>
      </c>
      <c r="B11" s="4" t="s">
        <v>5</v>
      </c>
      <c r="C11" s="4" t="s">
        <v>5</v>
      </c>
      <c r="D11" s="4" t="s">
        <v>5</v>
      </c>
      <c r="E11" s="4" t="s">
        <v>5</v>
      </c>
      <c r="F11" s="4" t="s">
        <v>5</v>
      </c>
    </row>
    <row r="12" ht="30" customHeight="1" spans="1:6" x14ac:dyDescent="0.25">
      <c r="A12" s="4" t="s">
        <v>5</v>
      </c>
      <c r="B12" s="4" t="s">
        <v>5</v>
      </c>
      <c r="C12" s="4" t="s">
        <v>5</v>
      </c>
      <c r="D12" s="4" t="s">
        <v>5</v>
      </c>
      <c r="E12" s="4" t="s">
        <v>5</v>
      </c>
      <c r="F12" s="4" t="s">
        <v>5</v>
      </c>
    </row>
    <row r="13" ht="30" customHeight="1" spans="1:6" x14ac:dyDescent="0.25">
      <c r="A13" s="4" t="s">
        <v>5</v>
      </c>
      <c r="B13" s="4" t="s">
        <v>5</v>
      </c>
      <c r="C13" s="4" t="s">
        <v>5</v>
      </c>
      <c r="D13" s="4" t="s">
        <v>5</v>
      </c>
      <c r="E13" s="4" t="s">
        <v>5</v>
      </c>
      <c r="F13" s="4" t="s">
        <v>5</v>
      </c>
    </row>
    <row r="14" ht="30" customHeight="1" spans="1:6" x14ac:dyDescent="0.25">
      <c r="A14" s="4" t="s">
        <v>5</v>
      </c>
      <c r="B14" s="4" t="s">
        <v>5</v>
      </c>
      <c r="C14" s="4" t="s">
        <v>5</v>
      </c>
      <c r="D14" s="4" t="s">
        <v>5</v>
      </c>
      <c r="E14" s="4" t="s">
        <v>5</v>
      </c>
      <c r="F14" s="4" t="s">
        <v>5</v>
      </c>
    </row>
    <row r="15" ht="30" customHeight="1" spans="1:6" x14ac:dyDescent="0.25">
      <c r="A15" s="4" t="s">
        <v>5</v>
      </c>
      <c r="B15" s="4" t="s">
        <v>5</v>
      </c>
      <c r="C15" s="4" t="s">
        <v>5</v>
      </c>
      <c r="D15" s="4" t="s">
        <v>5</v>
      </c>
      <c r="E15" s="4" t="s">
        <v>5</v>
      </c>
      <c r="F15" s="4" t="s">
        <v>5</v>
      </c>
    </row>
    <row r="16" ht="30" customHeight="1" spans="1:6" x14ac:dyDescent="0.25">
      <c r="A16" s="4" t="s">
        <v>5</v>
      </c>
      <c r="B16" s="4" t="s">
        <v>5</v>
      </c>
      <c r="C16" s="4" t="s">
        <v>5</v>
      </c>
      <c r="D16" s="4" t="s">
        <v>5</v>
      </c>
      <c r="E16" s="4" t="s">
        <v>5</v>
      </c>
      <c r="F16" s="4" t="s">
        <v>5</v>
      </c>
    </row>
    <row r="17" ht="30" customHeight="1" spans="1:6" x14ac:dyDescent="0.25">
      <c r="A17" s="4" t="s">
        <v>5</v>
      </c>
      <c r="B17" s="4" t="s">
        <v>5</v>
      </c>
      <c r="C17" s="4" t="s">
        <v>5</v>
      </c>
      <c r="D17" s="4" t="s">
        <v>5</v>
      </c>
      <c r="E17" s="4" t="s">
        <v>5</v>
      </c>
      <c r="F17" s="4" t="s">
        <v>5</v>
      </c>
    </row>
    <row r="18" ht="30" customHeight="1" spans="1:6" x14ac:dyDescent="0.25">
      <c r="A18" s="4" t="s">
        <v>5</v>
      </c>
      <c r="B18" s="4" t="s">
        <v>5</v>
      </c>
      <c r="C18" s="4" t="s">
        <v>5</v>
      </c>
      <c r="D18" s="4" t="s">
        <v>5</v>
      </c>
      <c r="E18" s="4" t="s">
        <v>5</v>
      </c>
      <c r="F18" s="4" t="s">
        <v>5</v>
      </c>
    </row>
    <row r="19" ht="30" customHeight="1" spans="1:6" x14ac:dyDescent="0.25">
      <c r="A19" s="4" t="s">
        <v>5</v>
      </c>
      <c r="B19" s="4" t="s">
        <v>5</v>
      </c>
      <c r="C19" s="4" t="s">
        <v>5</v>
      </c>
      <c r="D19" s="4" t="s">
        <v>5</v>
      </c>
      <c r="E19" s="4" t="s">
        <v>5</v>
      </c>
      <c r="F19" s="4" t="s">
        <v>5</v>
      </c>
    </row>
    <row r="20" ht="30" customHeight="1" spans="1:6" x14ac:dyDescent="0.25">
      <c r="A20" s="4" t="s">
        <v>5</v>
      </c>
      <c r="B20" s="4" t="s">
        <v>5</v>
      </c>
      <c r="C20" s="4" t="s">
        <v>5</v>
      </c>
      <c r="D20" s="4" t="s">
        <v>5</v>
      </c>
      <c r="E20" s="4" t="s">
        <v>5</v>
      </c>
      <c r="F20" s="4" t="s">
        <v>5</v>
      </c>
    </row>
    <row r="21" ht="30" customHeight="1" spans="1:6" x14ac:dyDescent="0.25">
      <c r="A21" s="4" t="s">
        <v>5</v>
      </c>
      <c r="B21" s="4" t="s">
        <v>5</v>
      </c>
      <c r="C21" s="4" t="s">
        <v>5</v>
      </c>
      <c r="D21" s="4" t="s">
        <v>5</v>
      </c>
      <c r="E21" s="4" t="s">
        <v>5</v>
      </c>
      <c r="F21" s="4" t="s">
        <v>5</v>
      </c>
    </row>
    <row r="22" ht="30" customHeight="1" spans="1:6" x14ac:dyDescent="0.25">
      <c r="A22" s="4" t="s">
        <v>5</v>
      </c>
      <c r="B22" s="4" t="s">
        <v>5</v>
      </c>
      <c r="C22" s="4" t="s">
        <v>5</v>
      </c>
      <c r="D22" s="4" t="s">
        <v>5</v>
      </c>
      <c r="E22" s="4" t="s">
        <v>5</v>
      </c>
      <c r="F22" s="4" t="s">
        <v>5</v>
      </c>
    </row>
  </sheetData>
  <mergeCells count="1">
    <mergeCell ref="A1:F1"/>
  </mergeCells>
  <dataValidations count="2">
    <dataValidation type="list" allowBlank="1" sqref="C10:C22">
      <formula1>"Open,Closed,In Progress"</formula1>
    </dataValidation>
    <dataValidation type="list" allowBlank="1" sqref="C3:C22">
      <formula1>"Open,Closed,In Progress"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3" max="3" width="18" customWidth="1"/>
    <col min="4" max="4" width="70" customWidth="1"/>
  </cols>
  <sheetData>
    <row r="1" ht="24" customHeight="1" spans="1:4" x14ac:dyDescent="0.25">
      <c r="A1" s="13" t="s">
        <v>288</v>
      </c>
      <c r="B1" s="13"/>
      <c r="C1" s="13"/>
      <c r="D1" s="13"/>
    </row>
    <row r="2" spans="1:4" x14ac:dyDescent="0.25">
      <c r="A2" s="5" t="s">
        <v>32</v>
      </c>
      <c r="B2" s="5" t="s">
        <v>33</v>
      </c>
      <c r="C2" s="5" t="s">
        <v>289</v>
      </c>
      <c r="D2" s="5" t="s">
        <v>290</v>
      </c>
    </row>
    <row r="3" ht="50" customHeight="1" spans="1:4" x14ac:dyDescent="0.25">
      <c r="A3" s="9" t="s">
        <v>46</v>
      </c>
      <c r="B3" s="9" t="s">
        <v>47</v>
      </c>
      <c r="C3" s="6" t="s">
        <v>291</v>
      </c>
      <c r="D3" s="14">
        <f>=IF(Questions_Input!H3="","— not yet answered —",IF(Questions_Input!I3=FALSE,"The objective of this ""pre-approval"" SIV was conducted for training purposes only."&amp;IF(Questions_Input!N3&lt;&gt;""," | Note: "&amp;Questions_Input!N3,""),"[DEVIATION] Expected: "&amp;Questions_Input!D3&amp;" | Actual: "&amp;Questions_Input!H3&amp;" — Please clarify — deviation from expected answer. Add details in Notes column."&amp;IF(Questions_Input!N3&lt;&gt;""," | Details: "&amp;Questions_Input!N3,"")))</f>
      </c>
    </row>
    <row r="4" ht="50" customHeight="1" spans="1:4" x14ac:dyDescent="0.25">
      <c r="A4" s="9" t="s">
        <v>46</v>
      </c>
      <c r="B4" s="9" t="s">
        <v>50</v>
      </c>
      <c r="C4" s="6" t="s">
        <v>291</v>
      </c>
      <c r="D4" s="14">
        <f>=IF(Questions_Input!H4="","— not yet answered —",IF(Questions_Input!I4=FALSE,"Training was provided according to SIV PPT V.x.x. dated YYYY MMM DD and CSP V.X.X."&amp;IF(Questions_Input!N4&lt;&gt;""," | Note: "&amp;Questions_Input!N4,""),"[DEVIATION] Expected: "&amp;Questions_Input!D4&amp;" | Actual: "&amp;Questions_Input!H4&amp;" — Please clarify — deviation from expected answer. Add details in Notes column."&amp;IF(Questions_Input!N4&lt;&gt;""," | Details: "&amp;Questions_Input!N4,"")))</f>
      </c>
    </row>
    <row r="5" ht="50" customHeight="1" spans="1:4" x14ac:dyDescent="0.25">
      <c r="A5" s="9" t="s">
        <v>46</v>
      </c>
      <c r="B5" s="9" t="s">
        <v>53</v>
      </c>
      <c r="C5" s="6" t="s">
        <v>291</v>
      </c>
      <c r="D5" s="14">
        <f>=IF(Questions_Input!H5="","— not yet answered —",IF(Questions_Input!I5=FALSE,"MSLM/CRA/LSAD discussed these with the PI/SI/SC."&amp;IF(Questions_Input!N5&lt;&gt;""," | Note: "&amp;Questions_Input!N5,""),"[DEVIATION] Expected: "&amp;Questions_Input!D5&amp;" | Actual: "&amp;Questions_Input!H5&amp;" — Please clarify — deviation from expected answer. Add details in Notes column."&amp;IF(Questions_Input!N5&lt;&gt;""," | Details: "&amp;Questions_Input!N5,"")))</f>
      </c>
    </row>
    <row r="6" ht="50" customHeight="1" spans="1:4" x14ac:dyDescent="0.25">
      <c r="A6" s="9" t="s">
        <v>46</v>
      </c>
      <c r="B6" s="9" t="s">
        <v>56</v>
      </c>
      <c r="C6" s="6" t="s">
        <v>291</v>
      </c>
      <c r="D6" s="14">
        <f>=IF(Questions_Input!H6="","— not yet answered —",IF(Questions_Input!I6=FALSE,"PI/SI confirmed enrollment of 14 patients; first screening/randomization planned YYYY MM DD."&amp;IF(Questions_Input!N6&lt;&gt;""," | Note: "&amp;Questions_Input!N6,""),"[DEVIATION] Expected: "&amp;Questions_Input!D6&amp;" | Actual: "&amp;Questions_Input!H6&amp;" — Please clarify — deviation from expected answer. Add details in Notes column."&amp;IF(Questions_Input!N6&lt;&gt;""," | Details: "&amp;Questions_Input!N6,"")))</f>
      </c>
    </row>
    <row r="7" ht="50" customHeight="1" spans="1:4" x14ac:dyDescent="0.25">
      <c r="A7" s="9" t="s">
        <v>46</v>
      </c>
      <c r="B7" s="9" t="s">
        <v>59</v>
      </c>
      <c r="C7" s="6" t="s">
        <v>291</v>
      </c>
      <c r="D7" s="14">
        <f>=IF(Questions_Input!H7="","— not yet answered —",IF(Questions_Input!I7=FALSE,"CRA discussed in detail according to CSP V x.x."&amp;IF(Questions_Input!N7&lt;&gt;""," | Note: "&amp;Questions_Input!N7,""),"[DEVIATION] Expected: "&amp;Questions_Input!D7&amp;" | Actual: "&amp;Questions_Input!H7&amp;" — Please clarify — deviation from expected answer. Add details in Notes column."&amp;IF(Questions_Input!N7&lt;&gt;""," | Details: "&amp;Questions_Input!N7,"")))</f>
      </c>
    </row>
    <row r="8" ht="50" customHeight="1" spans="1:4" x14ac:dyDescent="0.25">
      <c r="A8" s="9" t="s">
        <v>46</v>
      </c>
      <c r="B8" s="9" t="s">
        <v>62</v>
      </c>
      <c r="C8" s="6" t="s">
        <v>291</v>
      </c>
      <c r="D8" s="14">
        <f>=IF(Questions_Input!H8="","— not yet answered —",IF(Questions_Input!I8=FALSE,"CRA discussed in detail according to CSP V x.x."&amp;IF(Questions_Input!N8&lt;&gt;""," | Note: "&amp;Questions_Input!N8,""),"[DEVIATION] Expected: "&amp;Questions_Input!D8&amp;" | Actual: "&amp;Questions_Input!H8&amp;" — Please clarify — deviation from expected answer. Add details in Notes column."&amp;IF(Questions_Input!N8&lt;&gt;""," | Details: "&amp;Questions_Input!N8,"")))</f>
      </c>
    </row>
    <row r="9" ht="50" customHeight="1" spans="1:4" x14ac:dyDescent="0.25">
      <c r="A9" s="9" t="s">
        <v>46</v>
      </c>
      <c r="B9" s="9" t="s">
        <v>64</v>
      </c>
      <c r="C9" s="6" t="s">
        <v>291</v>
      </c>
      <c r="D9" s="14">
        <f>=IF(Questions_Input!H9="","— not yet answered —",IF(Questions_Input!I9=FALSE,"CRA discussed in detail according to CSP V x.x."&amp;IF(Questions_Input!N9&lt;&gt;""," | Note: "&amp;Questions_Input!N9,""),"[DEVIATION] Expected: "&amp;Questions_Input!D9&amp;" | Actual: "&amp;Questions_Input!H9&amp;" — Please clarify — deviation from expected answer. Add details in Notes column."&amp;IF(Questions_Input!N9&lt;&gt;""," | Details: "&amp;Questions_Input!N9,"")))</f>
      </c>
    </row>
    <row r="10" ht="50" customHeight="1" spans="1:4" x14ac:dyDescent="0.25">
      <c r="A10" s="9" t="s">
        <v>46</v>
      </c>
      <c r="B10" s="9" t="s">
        <v>66</v>
      </c>
      <c r="C10" s="6" t="s">
        <v>291</v>
      </c>
      <c r="D10" s="14">
        <f>=IF(Questions_Input!H10="","— not yet answered —",IF(Questions_Input!I10=FALSE,"CRA discussed in detail according to CSP V x.x. See also 1.1 regarding Pre-Approval nature."&amp;IF(Questions_Input!N10&lt;&gt;""," | Note: "&amp;Questions_Input!N10,""),"[DEVIATION] Expected: "&amp;Questions_Input!D10&amp;" | Actual: "&amp;Questions_Input!H10&amp;" — Please clarify — deviation from expected answer. Add details in Notes column."&amp;IF(Questions_Input!N10&lt;&gt;""," | Details: "&amp;Questions_Input!N10,"")))</f>
      </c>
    </row>
    <row r="11" ht="50" customHeight="1" spans="1:4" x14ac:dyDescent="0.25">
      <c r="A11" s="9" t="s">
        <v>46</v>
      </c>
      <c r="B11" s="9" t="s">
        <v>69</v>
      </c>
      <c r="C11" s="6" t="s">
        <v>291</v>
      </c>
      <c r="D11" s="14">
        <f>=IF(Questions_Input!H11="","— not yet answered —",IF(Questions_Input!I11=FALSE,"CRA discussed AE reporting procedures in detail according to CSP V x.x."&amp;IF(Questions_Input!N11&lt;&gt;""," | Note: "&amp;Questions_Input!N11,""),"[DEVIATION] Expected: "&amp;Questions_Input!D11&amp;" | Actual: "&amp;Questions_Input!H11&amp;" — Please clarify — deviation from expected answer. Add details in Notes column."&amp;IF(Questions_Input!N11&lt;&gt;""," | Details: "&amp;Questions_Input!N11,"")))</f>
      </c>
    </row>
    <row r="12" ht="50" customHeight="1" spans="1:4" x14ac:dyDescent="0.25">
      <c r="A12" s="9" t="s">
        <v>46</v>
      </c>
      <c r="B12" s="9" t="s">
        <v>72</v>
      </c>
      <c r="C12" s="6" t="s">
        <v>291</v>
      </c>
      <c r="D12" s="14">
        <f>=IF(Questions_Input!H12="","— not yet answered —",IF(Questions_Input!I12=FALSE,"CRA discussed in detail according to CSP V x.x."&amp;IF(Questions_Input!N12&lt;&gt;""," | Note: "&amp;Questions_Input!N12,""),"[DEVIATION] Expected: "&amp;Questions_Input!D12&amp;" | Actual: "&amp;Questions_Input!H12&amp;" — Please clarify — deviation from expected answer. Add details in Notes column."&amp;IF(Questions_Input!N12&lt;&gt;""," | Details: "&amp;Questions_Input!N12,"")))</f>
      </c>
    </row>
    <row r="13" ht="50" customHeight="1" spans="1:4" x14ac:dyDescent="0.25">
      <c r="A13" s="9" t="s">
        <v>46</v>
      </c>
      <c r="B13" s="9" t="s">
        <v>74</v>
      </c>
      <c r="C13" s="6" t="s">
        <v>291</v>
      </c>
      <c r="D13" s="14">
        <f>=IF(Questions_Input!H13="","— not yet answered —",IF(Questions_Input!I13=FALSE,"HIGH risk for theft discussed — site to notify Monitor immediately, no later than 24h."&amp;IF(Questions_Input!N13&lt;&gt;""," | Note: "&amp;Questions_Input!N13,""),"[DEVIATION] Expected: "&amp;Questions_Input!D13&amp;" | Actual: "&amp;Questions_Input!H13&amp;" — Please clarify — deviation from expected answer. Add details in Notes column."&amp;IF(Questions_Input!N13&lt;&gt;""," | Details: "&amp;Questions_Input!N13,"")))</f>
      </c>
    </row>
    <row r="14" ht="50" customHeight="1" spans="1:4" x14ac:dyDescent="0.25">
      <c r="A14" s="9" t="s">
        <v>46</v>
      </c>
      <c r="B14" s="9" t="s">
        <v>77</v>
      </c>
      <c r="C14" s="6" t="s">
        <v>291</v>
      </c>
      <c r="D14" s="14">
        <f>=IF(Questions_Input!H14="","— not yet answered —",IF(Questions_Input!I14=FALSE,"MSLM, CRA, LSAD discussed in detail and site is in agreement."&amp;IF(Questions_Input!N14&lt;&gt;""," | Note: "&amp;Questions_Input!N14,""),"[DEVIATION] Expected: "&amp;Questions_Input!D14&amp;" | Actual: "&amp;Questions_Input!H14&amp;" — Please clarify — deviation from expected answer. Add details in Notes column."&amp;IF(Questions_Input!N14&lt;&gt;""," | Details: "&amp;Questions_Input!N14,"")))</f>
      </c>
    </row>
    <row r="15" ht="50" customHeight="1" spans="1:4" x14ac:dyDescent="0.25">
      <c r="A15" s="9" t="s">
        <v>46</v>
      </c>
      <c r="B15" s="9" t="s">
        <v>80</v>
      </c>
      <c r="C15" s="6" t="s">
        <v>291</v>
      </c>
      <c r="D15" s="14">
        <f>=IF(Questions_Input!H15="","— not yet answered —",IF(Questions_Input!I15=FALSE,"MSLM, CRA, LSAD discussed in detail. See also 1.1 Pre-Approval nature."&amp;IF(Questions_Input!N15&lt;&gt;""," | Note: "&amp;Questions_Input!N15,""),"[DEVIATION] Expected: "&amp;Questions_Input!D15&amp;" | Actual: "&amp;Questions_Input!H15&amp;" — Please clarify — deviation from expected answer. Add details in Notes column."&amp;IF(Questions_Input!N15&lt;&gt;""," | Details: "&amp;Questions_Input!N15,"")))</f>
      </c>
    </row>
    <row r="16" ht="50" customHeight="1" spans="1:4" x14ac:dyDescent="0.25">
      <c r="A16" s="9" t="s">
        <v>46</v>
      </c>
      <c r="B16" s="9" t="s">
        <v>83</v>
      </c>
      <c r="C16" s="6" t="s">
        <v>291</v>
      </c>
      <c r="D16" s="14">
        <f>=IF(Questions_Input!H16="","— not yet answered —",IF(Questions_Input!I16=FALSE,"NA — This study is open label."&amp;IF(Questions_Input!N16&lt;&gt;""," | Note: "&amp;Questions_Input!N16,""),"[DEVIATION] Expected: "&amp;Questions_Input!D16&amp;" | Actual: "&amp;Questions_Input!H16&amp;" — Please clarify — deviation from expected answer. Add details in Notes column."&amp;IF(Questions_Input!N16&lt;&gt;""," | Details: "&amp;Questions_Input!N16,"")))</f>
      </c>
    </row>
    <row r="17" ht="50" customHeight="1" spans="1:4" x14ac:dyDescent="0.25">
      <c r="A17" s="9" t="s">
        <v>46</v>
      </c>
      <c r="B17" s="9" t="s">
        <v>87</v>
      </c>
      <c r="C17" s="6" t="s">
        <v>291</v>
      </c>
      <c r="D17" s="14">
        <f>=IF(Questions_Input!H17="","— not yet answered —",IF(Questions_Input!I17=FALSE,"NA — This study is open label."&amp;IF(Questions_Input!N17&lt;&gt;""," | Note: "&amp;Questions_Input!N17,""),"[DEVIATION] Expected: "&amp;Questions_Input!D17&amp;" | Actual: "&amp;Questions_Input!H17&amp;" — Please clarify — deviation from expected answer. Add details in Notes column."&amp;IF(Questions_Input!N17&lt;&gt;""," | Details: "&amp;Questions_Input!N17,"")))</f>
      </c>
    </row>
    <row r="18" ht="50" customHeight="1" spans="1:4" x14ac:dyDescent="0.25">
      <c r="A18" s="9" t="s">
        <v>46</v>
      </c>
      <c r="B18" s="9" t="s">
        <v>89</v>
      </c>
      <c r="C18" s="6" t="s">
        <v>291</v>
      </c>
      <c r="D18" s="14">
        <f>=IF(Questions_Input!H18="","— not yet answered —",IF(Questions_Input!I18=FALSE,"CRA discussed in detail; site is in agreement."&amp;IF(Questions_Input!N18&lt;&gt;""," | Note: "&amp;Questions_Input!N18,""),"[DEVIATION] Expected: "&amp;Questions_Input!D18&amp;" | Actual: "&amp;Questions_Input!H18&amp;" — Please clarify — deviation from expected answer. Add details in Notes column."&amp;IF(Questions_Input!N18&lt;&gt;""," | Details: "&amp;Questions_Input!N18,"")))</f>
      </c>
    </row>
    <row r="19" ht="50" customHeight="1" spans="1:4" x14ac:dyDescent="0.25">
      <c r="A19" s="9" t="s">
        <v>46</v>
      </c>
      <c r="B19" s="9" t="s">
        <v>92</v>
      </c>
      <c r="C19" s="6" t="s">
        <v>291</v>
      </c>
      <c r="D19" s="14">
        <f>=IF(Questions_Input!H19="","— not yet answered —",IF(Questions_Input!I19=FALSE,"CRA discussed with the site in detail."&amp;IF(Questions_Input!N19&lt;&gt;""," | Note: "&amp;Questions_Input!N19,""),"[DEVIATION] Expected: "&amp;Questions_Input!D19&amp;" | Actual: "&amp;Questions_Input!H19&amp;" — Please clarify — deviation from expected answer. Add details in Notes column."&amp;IF(Questions_Input!N19&lt;&gt;""," | Details: "&amp;Questions_Input!N19,"")))</f>
      </c>
    </row>
    <row r="20" ht="50" customHeight="1" spans="1:4" x14ac:dyDescent="0.25">
      <c r="A20" s="9" t="s">
        <v>46</v>
      </c>
      <c r="B20" s="9" t="s">
        <v>95</v>
      </c>
      <c r="C20" s="6" t="s">
        <v>291</v>
      </c>
      <c r="D20" s="14">
        <f>=IF(Questions_Input!H20="","— not yet answered —",IF(Questions_Input!I20=FALSE,"NA."&amp;IF(Questions_Input!N20&lt;&gt;""," | Note: "&amp;Questions_Input!N20,""),"[DEVIATION] Expected: "&amp;Questions_Input!D20&amp;" | Actual: "&amp;Questions_Input!H20&amp;" — Please clarify — deviation from expected answer. Add details in Notes column."&amp;IF(Questions_Input!N20&lt;&gt;""," | Details: "&amp;Questions_Input!N20,"")))</f>
      </c>
    </row>
    <row r="21" ht="50" customHeight="1" spans="1:4" x14ac:dyDescent="0.25">
      <c r="A21" s="9" t="s">
        <v>46</v>
      </c>
      <c r="B21" s="9" t="s">
        <v>98</v>
      </c>
      <c r="C21" s="6" t="s">
        <v>291</v>
      </c>
      <c r="D21" s="14">
        <f>=IF(Questions_Input!H21="","— not yet answered —",IF(Questions_Input!I21=FALSE,"All certificates and calibrations are in place and were reviewed."&amp;IF(Questions_Input!N21&lt;&gt;""," | Note: "&amp;Questions_Input!N21,""),"[DEVIATION] Expected: "&amp;Questions_Input!D21&amp;" | Actual: "&amp;Questions_Input!H21&amp;" — Please clarify — deviation from expected answer. Add details in Notes column."&amp;IF(Questions_Input!N21&lt;&gt;""," | Details: "&amp;Questions_Input!N21,"")))</f>
      </c>
    </row>
    <row r="22" ht="50" customHeight="1" spans="1:4" x14ac:dyDescent="0.25">
      <c r="A22" s="9" t="s">
        <v>46</v>
      </c>
      <c r="B22" s="9" t="s">
        <v>101</v>
      </c>
      <c r="C22" s="6" t="s">
        <v>291</v>
      </c>
      <c r="D22" s="14">
        <f>=IF(Questions_Input!H22="","— not yet answered —",IF(Questions_Input!I22=FALSE,"Site is fully trained and accesses are working/were requested."&amp;IF(Questions_Input!N22&lt;&gt;""," | Note: "&amp;Questions_Input!N22,""),"[DEVIATION] Expected: "&amp;Questions_Input!D22&amp;" | Actual: "&amp;Questions_Input!H22&amp;" — Please clarify — deviation from expected answer. Add details in Notes column."&amp;IF(Questions_Input!N22&lt;&gt;""," | Details: "&amp;Questions_Input!N22,"")))</f>
      </c>
    </row>
    <row r="23" ht="50" customHeight="1" spans="1:4" x14ac:dyDescent="0.25">
      <c r="A23" s="9" t="s">
        <v>46</v>
      </c>
      <c r="B23" s="9" t="s">
        <v>104</v>
      </c>
      <c r="C23" s="6" t="s">
        <v>291</v>
      </c>
      <c r="D23" s="14">
        <f>=IF(Questions_Input!H23="","— not yet answered —",IF(Questions_Input!I23=FALSE,"Site to immediately notify Study Clinical Lead and Clinical Team."&amp;IF(Questions_Input!N23&lt;&gt;""," | Note: "&amp;Questions_Input!N23,""),"[DEVIATION] Expected: "&amp;Questions_Input!D23&amp;" | Actual: "&amp;Questions_Input!H23&amp;" — Please clarify — deviation from expected answer. Add details in Notes column."&amp;IF(Questions_Input!N23&lt;&gt;""," | Details: "&amp;Questions_Input!N23,"")))</f>
      </c>
    </row>
    <row r="24" ht="50" customHeight="1" spans="1:4" x14ac:dyDescent="0.25">
      <c r="A24" s="9" t="s">
        <v>46</v>
      </c>
      <c r="B24" s="9" t="s">
        <v>107</v>
      </c>
      <c r="C24" s="6" t="s">
        <v>291</v>
      </c>
      <c r="D24" s="14">
        <f>=IF(Questions_Input!H24="","— not yet answered —",IF(Questions_Input!I24=FALSE,"MSLM, CRA, LSAD discussed in detail and site is in agreement."&amp;IF(Questions_Input!N24&lt;&gt;""," | Note: "&amp;Questions_Input!N24,""),"[DEVIATION] Expected: "&amp;Questions_Input!D24&amp;" | Actual: "&amp;Questions_Input!H24&amp;" — Please clarify — deviation from expected answer. Add details in Notes column."&amp;IF(Questions_Input!N24&lt;&gt;""," | Details: "&amp;Questions_Input!N24,"")))</f>
      </c>
    </row>
    <row r="25" ht="50" customHeight="1" spans="1:4" x14ac:dyDescent="0.25">
      <c r="A25" s="9" t="s">
        <v>46</v>
      </c>
      <c r="B25" s="9" t="s">
        <v>109</v>
      </c>
      <c r="C25" s="6" t="s">
        <v>291</v>
      </c>
      <c r="D25" s="14">
        <f>=IF(Questions_Input!H25="","— not yet answered —",IF(Questions_Input!I25=FALSE,"The listed Personnel was fully trained. ICF versions, IP Handling Manual, Biological Sample Handling, ISF and Vendors discussed."&amp;IF(Questions_Input!N25&lt;&gt;""," | Note: "&amp;Questions_Input!N25,""),"[DEVIATION] Expected: "&amp;Questions_Input!D25&amp;" | Actual: "&amp;Questions_Input!H25&amp;" — Please clarify — deviation from expected answer. Add details in Notes column."&amp;IF(Questions_Input!N25&lt;&gt;""," | Details: "&amp;Questions_Input!N25,"")))</f>
      </c>
    </row>
    <row r="26" ht="50" customHeight="1" spans="1:4" x14ac:dyDescent="0.25">
      <c r="A26" s="9" t="s">
        <v>112</v>
      </c>
      <c r="B26" s="9" t="s">
        <v>113</v>
      </c>
      <c r="C26" s="6" t="s">
        <v>292</v>
      </c>
      <c r="D26" s="14">
        <f>=IF(Questions_Input!H26="","— not yet answered —",IF(Questions_Input!I26=FALSE,"PI confirmed 14 patients; first screening/randomization planned YYYY MM DD."&amp;IF(Questions_Input!N26&lt;&gt;""," | Note: "&amp;Questions_Input!N26,""),"[DEVIATION] Expected: "&amp;Questions_Input!D26&amp;" | Actual: "&amp;Questions_Input!H26&amp;" — Please clarify — deviation from expected answer. Add details in Notes column."&amp;IF(Questions_Input!N26&lt;&gt;""," | Details: "&amp;Questions_Input!N26,"")))</f>
      </c>
    </row>
    <row r="27" ht="50" customHeight="1" spans="1:4" x14ac:dyDescent="0.25">
      <c r="A27" s="9" t="s">
        <v>112</v>
      </c>
      <c r="B27" s="9" t="s">
        <v>116</v>
      </c>
      <c r="C27" s="6" t="s">
        <v>292</v>
      </c>
      <c r="D27" s="14">
        <f>=IF(Questions_Input!H27="","— not yet answered —",IF(Questions_Input!I27=FALSE,"See 1.1 regarding Pre-Approval nature of this visit."&amp;IF(Questions_Input!N27&lt;&gt;""," | Note: "&amp;Questions_Input!N27,""),"[DEVIATION] Expected: "&amp;Questions_Input!D27&amp;" | Actual: "&amp;Questions_Input!H27&amp;" — Please clarify — deviation from expected answer. Add details in Notes column."&amp;IF(Questions_Input!N27&lt;&gt;""," | Details: "&amp;Questions_Input!N27,"")))</f>
      </c>
    </row>
    <row r="28" ht="50" customHeight="1" spans="1:4" x14ac:dyDescent="0.25">
      <c r="A28" s="9" t="s">
        <v>112</v>
      </c>
      <c r="B28" s="9" t="s">
        <v>119</v>
      </c>
      <c r="C28" s="6" t="s">
        <v>292</v>
      </c>
      <c r="D28" s="14">
        <f>=IF(Questions_Input!H28="","— not yet answered —",IF(Questions_Input!I28=FALSE,"CRA/LSAD discussed patient-reimbursement and retention. Thank You Cards in German discussed."&amp;IF(Questions_Input!N28&lt;&gt;""," | Note: "&amp;Questions_Input!N28,""),"[DEVIATION] Expected: "&amp;Questions_Input!D28&amp;" | Actual: "&amp;Questions_Input!H28&amp;" — Please clarify — deviation from expected answer. Add details in Notes column."&amp;IF(Questions_Input!N28&lt;&gt;""," | Details: "&amp;Questions_Input!N28,"")))</f>
      </c>
    </row>
    <row r="29" ht="50" customHeight="1" spans="1:4" x14ac:dyDescent="0.25">
      <c r="A29" s="9" t="s">
        <v>122</v>
      </c>
      <c r="B29" s="9" t="s">
        <v>123</v>
      </c>
      <c r="C29" s="6" t="s">
        <v>293</v>
      </c>
      <c r="D29" s="14">
        <f>=IF(Questions_Input!H29="","— not yet answered —",IF(Questions_Input!I29=FALSE,"Site was informed no patient procedures before sponsor approval via ""Ready To Enrollment""."&amp;IF(Questions_Input!N29&lt;&gt;""," | Note: "&amp;Questions_Input!N29,""),"[DEVIATION] Expected: "&amp;Questions_Input!D29&amp;" | Actual: "&amp;Questions_Input!H29&amp;" — Please clarify — deviation from expected answer. Add details in Notes column."&amp;IF(Questions_Input!N29&lt;&gt;""," | Details: "&amp;Questions_Input!N29,"")))</f>
      </c>
    </row>
    <row r="30" ht="50" customHeight="1" spans="1:4" x14ac:dyDescent="0.25">
      <c r="A30" s="9" t="s">
        <v>122</v>
      </c>
      <c r="B30" s="9" t="s">
        <v>126</v>
      </c>
      <c r="C30" s="6" t="s">
        <v>293</v>
      </c>
      <c r="D30" s="14">
        <f>=IF(Questions_Input!H30="","— not yet answered —",IF(Questions_Input!I30=FALSE,"NA — Sponsor will report accordingly and inform sites."&amp;IF(Questions_Input!N30&lt;&gt;""," | Note: "&amp;Questions_Input!N30,""),"[DEVIATION] Expected: "&amp;Questions_Input!D30&amp;" | Actual: "&amp;Questions_Input!H30&amp;" — Please clarify — deviation from expected answer. Add details in Notes column."&amp;IF(Questions_Input!N30&lt;&gt;""," | Details: "&amp;Questions_Input!N30,"")))</f>
      </c>
    </row>
    <row r="31" ht="50" customHeight="1" spans="1:4" x14ac:dyDescent="0.25">
      <c r="A31" s="9" t="s">
        <v>122</v>
      </c>
      <c r="B31" s="9" t="s">
        <v>129</v>
      </c>
      <c r="C31" s="6" t="s">
        <v>293</v>
      </c>
      <c r="D31" s="14">
        <f>=IF(Questions_Input!H31="","— not yet answered —",IF(Questions_Input!I31=FALSE,"Please refer to 3.2."&amp;IF(Questions_Input!N31&lt;&gt;""," | Note: "&amp;Questions_Input!N31,""),"[DEVIATION] Expected: "&amp;Questions_Input!D31&amp;" | Actual: "&amp;Questions_Input!H31&amp;" — Please clarify — deviation from expected answer. Add details in Notes column."&amp;IF(Questions_Input!N31&lt;&gt;""," | Details: "&amp;Questions_Input!N31,"")))</f>
      </c>
    </row>
    <row r="32" ht="50" customHeight="1" spans="1:4" x14ac:dyDescent="0.25">
      <c r="A32" s="9" t="s">
        <v>132</v>
      </c>
      <c r="B32" s="9" t="s">
        <v>133</v>
      </c>
      <c r="C32" s="6" t="s">
        <v>294</v>
      </c>
      <c r="D32" s="14">
        <f>=IF(Questions_Input!H32="","— not yet answered —",IF(Questions_Input!I32=FALSE,"CRA discussed REMs regularly; main SC is contact; medical queries forwarded to PI/SI."&amp;IF(Questions_Input!N32&lt;&gt;""," | Note: "&amp;Questions_Input!N32,""),"[DEVIATION] Expected: "&amp;Questions_Input!D32&amp;" | Actual: "&amp;Questions_Input!H32&amp;" — Please clarify — deviation from expected answer. Add details in Notes column."&amp;IF(Questions_Input!N32&lt;&gt;""," | Details: "&amp;Questions_Input!N32,"")))</f>
      </c>
    </row>
    <row r="33" ht="50" customHeight="1" spans="1:4" x14ac:dyDescent="0.25">
      <c r="A33" s="9" t="s">
        <v>132</v>
      </c>
      <c r="B33" s="9" t="s">
        <v>136</v>
      </c>
      <c r="C33" s="6" t="s">
        <v>294</v>
      </c>
      <c r="D33" s="14">
        <f>=IF(Questions_Input!H33="","— not yet answered —",IF(Questions_Input!I33=FALSE,"Site is aware; first RMV after first patient screened."&amp;IF(Questions_Input!N33&lt;&gt;""," | Note: "&amp;Questions_Input!N33,""),"[DEVIATION] Expected: "&amp;Questions_Input!D33&amp;" | Actual: "&amp;Questions_Input!H33&amp;" — Please clarify — deviation from expected answer. Add details in Notes column."&amp;IF(Questions_Input!N33&lt;&gt;""," | Details: "&amp;Questions_Input!N33,"")))</f>
      </c>
    </row>
    <row r="34" ht="50" customHeight="1" spans="1:4" x14ac:dyDescent="0.25">
      <c r="A34" s="9" t="s">
        <v>132</v>
      </c>
      <c r="B34" s="9" t="s">
        <v>139</v>
      </c>
      <c r="C34" s="6" t="s">
        <v>294</v>
      </c>
      <c r="D34" s="14">
        <f>=IF(Questions_Input!H34="","— not yet answered —",IF(Questions_Input!I34=FALSE,"CRA discussed frequency; site is in agreement."&amp;IF(Questions_Input!N34&lt;&gt;""," | Note: "&amp;Questions_Input!N34,""),"[DEVIATION] Expected: "&amp;Questions_Input!D34&amp;" | Actual: "&amp;Questions_Input!H34&amp;" — Please clarify — deviation from expected answer. Add details in Notes column."&amp;IF(Questions_Input!N34&lt;&gt;""," | Details: "&amp;Questions_Input!N34,"")))</f>
      </c>
    </row>
    <row r="35" ht="50" customHeight="1" spans="1:4" x14ac:dyDescent="0.25">
      <c r="A35" s="9" t="s">
        <v>132</v>
      </c>
      <c r="B35" s="9" t="s">
        <v>142</v>
      </c>
      <c r="C35" s="6" t="s">
        <v>294</v>
      </c>
      <c r="D35" s="14">
        <f>=IF(Questions_Input!H35="","— not yet answered —",IF(Questions_Input!I35=FALSE,"CRA discussed in detail. Site is in agreement."&amp;IF(Questions_Input!N35&lt;&gt;""," | Note: "&amp;Questions_Input!N35,""),"[DEVIATION] Expected: "&amp;Questions_Input!D35&amp;" | Actual: "&amp;Questions_Input!H35&amp;" — Please clarify — deviation from expected answer. Add details in Notes column."&amp;IF(Questions_Input!N35&lt;&gt;""," | Details: "&amp;Questions_Input!N35,"")))</f>
      </c>
    </row>
    <row r="36" ht="50" customHeight="1" spans="1:4" x14ac:dyDescent="0.25">
      <c r="A36" s="9" t="s">
        <v>132</v>
      </c>
      <c r="B36" s="9" t="s">
        <v>145</v>
      </c>
      <c r="C36" s="6" t="s">
        <v>294</v>
      </c>
      <c r="D36" s="14">
        <f>=IF(Questions_Input!H36="","— not yet answered —",IF(Questions_Input!I36=FALSE,"Site using printouts/EMR; CRA will get access according to 21 CFR Part 11."&amp;IF(Questions_Input!N36&lt;&gt;""," | Note: "&amp;Questions_Input!N36,""),"[DEVIATION] Expected: "&amp;Questions_Input!D36&amp;" | Actual: "&amp;Questions_Input!H36&amp;" — Please clarify — deviation from expected answer. Add details in Notes column."&amp;IF(Questions_Input!N36&lt;&gt;""," | Details: "&amp;Questions_Input!N36,"")))</f>
      </c>
    </row>
    <row r="37" ht="50" customHeight="1" spans="1:4" x14ac:dyDescent="0.25">
      <c r="A37" s="9" t="s">
        <v>132</v>
      </c>
      <c r="B37" s="9" t="s">
        <v>148</v>
      </c>
      <c r="C37" s="6" t="s">
        <v>294</v>
      </c>
      <c r="D37" s="14">
        <f>=IF(Questions_Input!H37="","— not yet answered —",IF(Questions_Input!I37=FALSE,"CRA will get access only to study patients according to 21 CFR Part 11."&amp;IF(Questions_Input!N37&lt;&gt;""," | Note: "&amp;Questions_Input!N37,""),"[DEVIATION] Expected: "&amp;Questions_Input!D37&amp;" | Actual: "&amp;Questions_Input!H37&amp;" — Please clarify — deviation from expected answer. Add details in Notes column."&amp;IF(Questions_Input!N37&lt;&gt;""," | Details: "&amp;Questions_Input!N37,"")))</f>
      </c>
    </row>
    <row r="38" ht="50" customHeight="1" spans="1:4" x14ac:dyDescent="0.25">
      <c r="A38" s="9" t="s">
        <v>132</v>
      </c>
      <c r="B38" s="9" t="s">
        <v>151</v>
      </c>
      <c r="C38" s="6" t="s">
        <v>294</v>
      </c>
      <c r="D38" s="14">
        <f>=IF(Questions_Input!H38="","— not yet answered —",IF(Questions_Input!I38=FALSE,"NA — Site using local lab for quick check; Central Lab used in general."&amp;IF(Questions_Input!N38&lt;&gt;""," | Note: "&amp;Questions_Input!N38,""),"[DEVIATION] Expected: "&amp;Questions_Input!D38&amp;" | Actual: "&amp;Questions_Input!H38&amp;" — Please clarify — deviation from expected answer. Add details in Notes column."&amp;IF(Questions_Input!N38&lt;&gt;""," | Details: "&amp;Questions_Input!N38,"")))</f>
      </c>
    </row>
    <row r="39" ht="50" customHeight="1" spans="1:4" x14ac:dyDescent="0.25">
      <c r="A39" s="9" t="s">
        <v>132</v>
      </c>
      <c r="B39" s="9" t="s">
        <v>154</v>
      </c>
      <c r="C39" s="6" t="s">
        <v>294</v>
      </c>
      <c r="D39" s="14">
        <f>=IF(Questions_Input!H39="","— not yet answered —",IF(Questions_Input!I39=FALSE,"CRA discussed all applicable study patient data need to be reviewed on an ongoing basis."&amp;IF(Questions_Input!N39&lt;&gt;""," | Note: "&amp;Questions_Input!N39,""),"[DEVIATION] Expected: "&amp;Questions_Input!D39&amp;" | Actual: "&amp;Questions_Input!H39&amp;" — Please clarify — deviation from expected answer. Add details in Notes column."&amp;IF(Questions_Input!N39&lt;&gt;""," | Details: "&amp;Questions_Input!N39,"")))</f>
      </c>
    </row>
    <row r="40" ht="50" customHeight="1" spans="1:4" x14ac:dyDescent="0.25">
      <c r="A40" s="9" t="s">
        <v>157</v>
      </c>
      <c r="B40" s="9" t="s">
        <v>158</v>
      </c>
      <c r="C40" s="6" t="s">
        <v>295</v>
      </c>
      <c r="D40" s="14">
        <f>=IF(Questions_Input!H40="","— not yet answered —",IF(Questions_Input!I40=FALSE,"CRA checked the facility and considered it adequate."&amp;IF(Questions_Input!N40&lt;&gt;""," | Note: "&amp;Questions_Input!N40,""),"[DEVIATION] Expected: "&amp;Questions_Input!D40&amp;" | Actual: "&amp;Questions_Input!H40&amp;" — Please clarify — deviation from expected answer. Add details in Notes column."&amp;IF(Questions_Input!N40&lt;&gt;""," | Details: "&amp;Questions_Input!N40,"")))</f>
      </c>
    </row>
    <row r="41" ht="50" customHeight="1" spans="1:4" x14ac:dyDescent="0.25">
      <c r="A41" s="9" t="s">
        <v>157</v>
      </c>
      <c r="B41" s="9" t="s">
        <v>161</v>
      </c>
      <c r="C41" s="6" t="s">
        <v>295</v>
      </c>
      <c r="D41" s="14">
        <f>=IF(Questions_Input!H41="","— not yet answered —",IF(Questions_Input!I41=FALSE,"See 1.1. IP restrictions communicated. Initial IP Shipment triggered once IP Greenlight activities completed. Site must inform LST prior any new patient screening/randomization."&amp;IF(Questions_Input!N41&lt;&gt;""," | Note: "&amp;Questions_Input!N41,""),"[DEVIATION] Expected: "&amp;Questions_Input!D41&amp;" | Actual: "&amp;Questions_Input!H41&amp;" — Please clarify — deviation from expected answer. Add details in Notes column."&amp;IF(Questions_Input!N41&lt;&gt;""," | Details: "&amp;Questions_Input!N41,"")))</f>
      </c>
    </row>
    <row r="42" ht="50" customHeight="1" spans="1:4" x14ac:dyDescent="0.25">
      <c r="A42" s="9" t="s">
        <v>164</v>
      </c>
      <c r="B42" s="9" t="s">
        <v>165</v>
      </c>
      <c r="C42" s="6" t="s">
        <v>296</v>
      </c>
      <c r="D42" s="14">
        <f>=IF(Questions_Input!H42="","— not yet answered —",IF(Questions_Input!I42=FALSE,"Lab Samples will be stored in secured fridge/freezer at -20°C and/or -80°C."&amp;IF(Questions_Input!N42&lt;&gt;""," | Note: "&amp;Questions_Input!N42,""),"[DEVIATION] Expected: "&amp;Questions_Input!D42&amp;" | Actual: "&amp;Questions_Input!H42&amp;" — Please clarify — deviation from expected answer. Add details in Notes column."&amp;IF(Questions_Input!N42&lt;&gt;""," | Details: "&amp;Questions_Input!N42,"")))</f>
      </c>
    </row>
    <row r="43" ht="50" customHeight="1" spans="1:4" x14ac:dyDescent="0.25">
      <c r="A43" s="9" t="s">
        <v>164</v>
      </c>
      <c r="B43" s="9" t="s">
        <v>168</v>
      </c>
      <c r="C43" s="6" t="s">
        <v>296</v>
      </c>
      <c r="D43" s="14">
        <f>=IF(Questions_Input!H43="","— not yet answered —",IF(Questions_Input!I43=FALSE,"CRA checked during SIV."&amp;IF(Questions_Input!N43&lt;&gt;""," | Note: "&amp;Questions_Input!N43,""),"[DEVIATION] Expected: "&amp;Questions_Input!D43&amp;" | Actual: "&amp;Questions_Input!H43&amp;" — Please clarify — deviation from expected answer. Add details in Notes column."&amp;IF(Questions_Input!N43&lt;&gt;""," | Details: "&amp;Questions_Input!N43,"")))</f>
      </c>
    </row>
    <row r="44" ht="50" customHeight="1" spans="1:4" x14ac:dyDescent="0.25">
      <c r="A44" s="9" t="s">
        <v>164</v>
      </c>
      <c r="B44" s="9" t="s">
        <v>171</v>
      </c>
      <c r="C44" s="6" t="s">
        <v>296</v>
      </c>
      <c r="D44" s="14">
        <f>=IF(Questions_Input!H44="","— not yet answered —",IF(Questions_Input!I44=FALSE,"NA — Central Lab will be used. Main SC is IATA trained. AZ HbS Log Vx to be used."&amp;IF(Questions_Input!N44&lt;&gt;""," | Note: "&amp;Questions_Input!N44,""),"[DEVIATION] Expected: "&amp;Questions_Input!D44&amp;" | Actual: "&amp;Questions_Input!H44&amp;" — Please clarify — deviation from expected answer. Add details in Notes column."&amp;IF(Questions_Input!N44&lt;&gt;""," | Details: "&amp;Questions_Input!N44,"")))</f>
      </c>
    </row>
    <row r="45" ht="50" customHeight="1" spans="1:4" x14ac:dyDescent="0.25">
      <c r="A45" s="9" t="s">
        <v>174</v>
      </c>
      <c r="B45" s="9" t="s">
        <v>175</v>
      </c>
      <c r="C45" s="6" t="s">
        <v>297</v>
      </c>
      <c r="D45" s="14">
        <f>=IF(Questions_Input!H45="","— not yet answered —",IF(Questions_Input!I45=FALSE,"All accesses provided. SC activated; PI/SI accesses pending after Pre-Approval SIV."&amp;IF(Questions_Input!N45&lt;&gt;""," | Note: "&amp;Questions_Input!N45,""),"[DEVIATION] Expected: "&amp;Questions_Input!D45&amp;" | Actual: "&amp;Questions_Input!H45&amp;" — Please clarify — deviation from expected answer. Add details in Notes column."&amp;IF(Questions_Input!N45&lt;&gt;""," | Details: "&amp;Questions_Input!N45,"")))</f>
      </c>
    </row>
    <row r="46" ht="50" customHeight="1" spans="1:4" x14ac:dyDescent="0.25">
      <c r="A46" s="9" t="s">
        <v>174</v>
      </c>
      <c r="B46" s="9" t="s">
        <v>178</v>
      </c>
      <c r="C46" s="6" t="s">
        <v>297</v>
      </c>
      <c r="D46" s="14">
        <f>=IF(Questions_Input!H46="","— not yet answered —",IF(Questions_Input!I46=FALSE,"The whole Site Team is fully activated."&amp;IF(Questions_Input!N46&lt;&gt;""," | Note: "&amp;Questions_Input!N46,""),"[DEVIATION] Expected: "&amp;Questions_Input!D46&amp;" | Actual: "&amp;Questions_Input!H46&amp;" — Please clarify — deviation from expected answer. Add details in Notes column."&amp;IF(Questions_Input!N46&lt;&gt;""," | Details: "&amp;Questions_Input!N46,"")))</f>
      </c>
    </row>
    <row r="47" ht="50" customHeight="1" spans="1:4" x14ac:dyDescent="0.25">
      <c r="A47" s="9" t="s">
        <v>174</v>
      </c>
      <c r="B47" s="9" t="s">
        <v>181</v>
      </c>
      <c r="C47" s="6" t="s">
        <v>297</v>
      </c>
      <c r="D47" s="14">
        <f>=IF(Questions_Input!H47="","— not yet answered —",IF(Questions_Input!I47=FALSE,"WBDC and IRT systems trained during SIV. IRT access: active/pending. RAVE access: active/pending."&amp;IF(Questions_Input!N47&lt;&gt;""," | Note: "&amp;Questions_Input!N47,""),"[DEVIATION] Expected: "&amp;Questions_Input!D47&amp;" | Actual: "&amp;Questions_Input!H47&amp;" — Please clarify — deviation from expected answer. Add details in Notes column."&amp;IF(Questions_Input!N47&lt;&gt;""," | Details: "&amp;Questions_Input!N47,"")))</f>
      </c>
    </row>
    <row r="48" ht="50" customHeight="1" spans="1:4" x14ac:dyDescent="0.25">
      <c r="A48" s="9" t="s">
        <v>184</v>
      </c>
      <c r="B48" s="9" t="s">
        <v>185</v>
      </c>
      <c r="C48" s="6" t="s">
        <v>298</v>
      </c>
      <c r="D48" s="14">
        <f>=IF(Questions_Input!H48="","— not yet answered —",IF(Questions_Input!I48=FALSE,"CRA checked and considered facility adequate."&amp;IF(Questions_Input!N48&lt;&gt;""," | Note: "&amp;Questions_Input!N48,""),"[DEVIATION] Expected: "&amp;Questions_Input!D48&amp;" | Actual: "&amp;Questions_Input!H48&amp;" — Please clarify — deviation from expected answer. Add details in Notes column."&amp;IF(Questions_Input!N48&lt;&gt;""," | Details: "&amp;Questions_Input!N48,"")))</f>
      </c>
    </row>
    <row r="49" ht="50" customHeight="1" spans="1:4" x14ac:dyDescent="0.25">
      <c r="A49" s="9" t="s">
        <v>184</v>
      </c>
      <c r="B49" s="9" t="s">
        <v>188</v>
      </c>
      <c r="C49" s="6" t="s">
        <v>298</v>
      </c>
      <c r="D49" s="14">
        <f>=IF(Questions_Input!H49="","— not yet answered —",IF(Questions_Input!I49=FALSE,"Whole Site Team fully activated. E-learning required for: [list]."&amp;IF(Questions_Input!N49&lt;&gt;""," | Note: "&amp;Questions_Input!N49,""),"[DEVIATION] Expected: "&amp;Questions_Input!D49&amp;" | Actual: "&amp;Questions_Input!H49&amp;" — Please clarify — deviation from expected answer. Add details in Notes column."&amp;IF(Questions_Input!N49&lt;&gt;""," | Details: "&amp;Questions_Input!N49,"")))</f>
      </c>
    </row>
    <row r="50" ht="50" customHeight="1" spans="1:4" x14ac:dyDescent="0.25">
      <c r="A50" s="9" t="s">
        <v>184</v>
      </c>
      <c r="B50" s="9" t="s">
        <v>191</v>
      </c>
      <c r="C50" s="6" t="s">
        <v>298</v>
      </c>
      <c r="D50" s="14">
        <f>=IF(Questions_Input!H50="","— not yet answered —",IF(Questions_Input!I50=FALSE,"CRA discussed the details with the site."&amp;IF(Questions_Input!N50&lt;&gt;""," | Note: "&amp;Questions_Input!N50,""),"[DEVIATION] Expected: "&amp;Questions_Input!D50&amp;" | Actual: "&amp;Questions_Input!H50&amp;" — Please clarify — deviation from expected answer. Add details in Notes column."&amp;IF(Questions_Input!N50&lt;&gt;""," | Details: "&amp;Questions_Input!N50,"")))</f>
      </c>
    </row>
    <row r="51" ht="50" customHeight="1" spans="1:4" x14ac:dyDescent="0.25">
      <c r="A51" s="9" t="s">
        <v>184</v>
      </c>
      <c r="B51" s="9" t="s">
        <v>194</v>
      </c>
      <c r="C51" s="6" t="s">
        <v>298</v>
      </c>
      <c r="D51" s="14">
        <f>=IF(Questions_Input!H51="","— not yet answered —",IF(Questions_Input!I51=FALSE,"[As expected — add comment]"&amp;IF(Questions_Input!N51&lt;&gt;""," | Note: "&amp;Questions_Input!N51,""),"[DEVIATION] Expected: "&amp;Questions_Input!D51&amp;" | Actual: "&amp;Questions_Input!H51&amp;" — Please clarify — deviation from expected answer. Add details in Notes column."&amp;IF(Questions_Input!N51&lt;&gt;""," | Details: "&amp;Questions_Input!N51,"")))</f>
      </c>
    </row>
    <row r="52" ht="50" customHeight="1" spans="1:4" x14ac:dyDescent="0.25">
      <c r="A52" s="9" t="s">
        <v>196</v>
      </c>
      <c r="B52" s="9" t="s">
        <v>197</v>
      </c>
      <c r="C52" s="6" t="s">
        <v>299</v>
      </c>
      <c r="D52" s="14">
        <f>=IF(Questions_Input!H52="","— not yet answered —",IF(Questions_Input!I52=FALSE,"ISF reviewed; documents will be provided after IEC Approval and RtE."&amp;IF(Questions_Input!N52&lt;&gt;""," | Note: "&amp;Questions_Input!N52,""),"[DEVIATION] Expected: "&amp;Questions_Input!D52&amp;" | Actual: "&amp;Questions_Input!H52&amp;" — Please clarify — deviation from expected answer. Add details in Notes column."&amp;IF(Questions_Input!N52&lt;&gt;""," | Details: "&amp;Questions_Input!N52,"")))</f>
      </c>
    </row>
    <row r="53" ht="50" customHeight="1" spans="1:4" x14ac:dyDescent="0.25">
      <c r="A53" s="9" t="s">
        <v>196</v>
      </c>
      <c r="B53" s="9" t="s">
        <v>200</v>
      </c>
      <c r="C53" s="6" t="s">
        <v>299</v>
      </c>
      <c r="D53" s="14">
        <f>=IF(Questions_Input!H53="","— not yet answered —",IF(Questions_Input!I53=FALSE,"NA — Will be provided after IEC Approval; PI Signature to be collected."&amp;IF(Questions_Input!N53&lt;&gt;""," | Note: "&amp;Questions_Input!N53,""),"[DEVIATION] Expected: "&amp;Questions_Input!D53&amp;" | Actual: "&amp;Questions_Input!H53&amp;" — Please clarify — deviation from expected answer. Add details in Notes column."&amp;IF(Questions_Input!N53&lt;&gt;""," | Details: "&amp;Questions_Input!N53,"")))</f>
      </c>
    </row>
    <row r="54" ht="50" customHeight="1" spans="1:4" x14ac:dyDescent="0.25">
      <c r="A54" s="9" t="s">
        <v>196</v>
      </c>
      <c r="B54" s="9" t="s">
        <v>203</v>
      </c>
      <c r="C54" s="6" t="s">
        <v>299</v>
      </c>
      <c r="D54" s="14">
        <f>=IF(Questions_Input!H54="","— not yet answered —",IF(Questions_Input!I54=FALSE,"CSA fully executed. SDA collected during SIV."&amp;IF(Questions_Input!N54&lt;&gt;""," | Note: "&amp;Questions_Input!N54,""),"[DEVIATION] Expected: "&amp;Questions_Input!D54&amp;" | Actual: "&amp;Questions_Input!H54&amp;" — Please clarify — deviation from expected answer. Add details in Notes column."&amp;IF(Questions_Input!N54&lt;&gt;""," | Details: "&amp;Questions_Input!N54,"")))</f>
      </c>
    </row>
    <row r="55" ht="50" customHeight="1" spans="1:4" x14ac:dyDescent="0.25">
      <c r="A55" s="9" t="s">
        <v>196</v>
      </c>
      <c r="B55" s="9" t="s">
        <v>206</v>
      </c>
      <c r="C55" s="6" t="s">
        <v>299</v>
      </c>
      <c r="D55" s="14">
        <f>=IF(Questions_Input!H55="","— not yet answered —",IF(Questions_Input!I55=FALSE,"NA — Will be provided after IEC Approval. See 1.3."&amp;IF(Questions_Input!N55&lt;&gt;""," | Note: "&amp;Questions_Input!N55,""),"[DEVIATION] Expected: "&amp;Questions_Input!D55&amp;" | Actual: "&amp;Questions_Input!H55&amp;" — Please clarify — deviation from expected answer. Add details in Notes column."&amp;IF(Questions_Input!N55&lt;&gt;""," | Details: "&amp;Questions_Input!N55,"")))</f>
      </c>
    </row>
    <row r="56" ht="50" customHeight="1" spans="1:4" x14ac:dyDescent="0.25">
      <c r="A56" s="9" t="s">
        <v>196</v>
      </c>
      <c r="B56" s="9" t="s">
        <v>209</v>
      </c>
      <c r="C56" s="6" t="s">
        <v>299</v>
      </c>
      <c r="D56" s="14">
        <f>=IF(Questions_Input!H56="","— not yet answered —",IF(Questions_Input!I56=FALSE,"NA — Will be provided after IEC Approval."&amp;IF(Questions_Input!N56&lt;&gt;""," | Note: "&amp;Questions_Input!N56,""),"[DEVIATION] Expected: "&amp;Questions_Input!D56&amp;" | Actual: "&amp;Questions_Input!H56&amp;" — Please clarify — deviation from expected answer. Add details in Notes column."&amp;IF(Questions_Input!N56&lt;&gt;""," | Details: "&amp;Questions_Input!N56,"")))</f>
      </c>
    </row>
    <row r="57" ht="50" customHeight="1" spans="1:4" x14ac:dyDescent="0.25">
      <c r="A57" s="9" t="s">
        <v>196</v>
      </c>
      <c r="B57" s="9" t="s">
        <v>212</v>
      </c>
      <c r="C57" s="6" t="s">
        <v>299</v>
      </c>
      <c r="D57" s="14">
        <f>=IF(Questions_Input!H57="","— not yet answered —",IF(Questions_Input!I57=FALSE,"NA — Open label study."&amp;IF(Questions_Input!N57&lt;&gt;""," | Note: "&amp;Questions_Input!N57,""),"[DEVIATION] Expected: "&amp;Questions_Input!D57&amp;" | Actual: "&amp;Questions_Input!H57&amp;" — Please clarify — deviation from expected answer. Add details in Notes column."&amp;IF(Questions_Input!N57&lt;&gt;""," | Details: "&amp;Questions_Input!N57,"")))</f>
      </c>
    </row>
    <row r="58" ht="50" customHeight="1" spans="1:4" x14ac:dyDescent="0.25">
      <c r="A58" s="9" t="s">
        <v>196</v>
      </c>
      <c r="B58" s="9" t="s">
        <v>215</v>
      </c>
      <c r="C58" s="6" t="s">
        <v>299</v>
      </c>
      <c r="D58" s="14">
        <f>=IF(Questions_Input!H58="","— not yet answered —",IF(Questions_Input!I58=FALSE,"NA — Electronic CRF is used."&amp;IF(Questions_Input!N58&lt;&gt;""," | Note: "&amp;Questions_Input!N58,""),"[DEVIATION] Expected: "&amp;Questions_Input!D58&amp;" | Actual: "&amp;Questions_Input!H58&amp;" — Please clarify — deviation from expected answer. Add details in Notes column."&amp;IF(Questions_Input!N58&lt;&gt;""," | Details: "&amp;Questions_Input!N58,"")))</f>
      </c>
    </row>
    <row r="59" ht="50" customHeight="1" spans="1:4" x14ac:dyDescent="0.25">
      <c r="A59" s="9" t="s">
        <v>196</v>
      </c>
      <c r="B59" s="9" t="s">
        <v>218</v>
      </c>
      <c r="C59" s="6" t="s">
        <v>299</v>
      </c>
      <c r="D59" s="14">
        <f>=IF(Questions_Input!H59="","— not yet answered —",IF(Questions_Input!I59=FALSE,"No — Patient material will be provided after site RtE."&amp;IF(Questions_Input!N59&lt;&gt;""," | Note: "&amp;Questions_Input!N59,""),"[DEVIATION] Expected: "&amp;Questions_Input!D59&amp;" | Actual: "&amp;Questions_Input!H59&amp;" — Please clarify — deviation from expected answer. Add details in Notes column."&amp;IF(Questions_Input!N59&lt;&gt;""," | Details: "&amp;Questions_Input!N59,"")))</f>
      </c>
    </row>
    <row r="60" ht="50" customHeight="1" spans="1:4" x14ac:dyDescent="0.25">
      <c r="A60" s="9" t="s">
        <v>196</v>
      </c>
      <c r="B60" s="9" t="s">
        <v>221</v>
      </c>
      <c r="C60" s="6" t="s">
        <v>299</v>
      </c>
      <c r="D60" s="14">
        <f>=IF(Questions_Input!H60="","— not yet answered —",IF(Questions_Input!I60=FALSE,"NA — Will be provided after IEC Approval."&amp;IF(Questions_Input!N60&lt;&gt;""," | Note: "&amp;Questions_Input!N60,""),"[DEVIATION] Expected: "&amp;Questions_Input!D60&amp;" | Actual: "&amp;Questions_Input!H60&amp;" — Please clarify — deviation from expected answer. Add details in Notes column."&amp;IF(Questions_Input!N60&lt;&gt;""," | Details: "&amp;Questions_Input!N60,"")))</f>
      </c>
    </row>
    <row r="61" ht="50" customHeight="1" spans="1:4" x14ac:dyDescent="0.25">
      <c r="A61" s="9" t="s">
        <v>196</v>
      </c>
      <c r="B61" s="9" t="s">
        <v>223</v>
      </c>
      <c r="C61" s="6" t="s">
        <v>299</v>
      </c>
      <c r="D61" s="14">
        <f>=IF(Questions_Input!H61="","— not yet answered —",IF(Questions_Input!I61=FALSE,"Study drug shipment triggered once site activated in IRT system."&amp;IF(Questions_Input!N61&lt;&gt;""," | Note: "&amp;Questions_Input!N61,""),"[DEVIATION] Expected: "&amp;Questions_Input!D61&amp;" | Actual: "&amp;Questions_Input!H61&amp;" — Please clarify — deviation from expected answer. Add details in Notes column."&amp;IF(Questions_Input!N61&lt;&gt;""," | Details: "&amp;Questions_Input!N61,"")))</f>
      </c>
    </row>
    <row r="62" ht="50" customHeight="1" spans="1:4" x14ac:dyDescent="0.25">
      <c r="A62" s="9" t="s">
        <v>196</v>
      </c>
      <c r="B62" s="9" t="s">
        <v>226</v>
      </c>
      <c r="C62" s="6" t="s">
        <v>299</v>
      </c>
      <c r="D62" s="14">
        <f>=IF(Questions_Input!H62="","— not yet answered —",IF(Questions_Input!I62=FALSE,"[As expected — add comment]"&amp;IF(Questions_Input!N62&lt;&gt;""," | Note: "&amp;Questions_Input!N62,""),"[DEVIATION] Expected: "&amp;Questions_Input!D62&amp;" | Actual: "&amp;Questions_Input!H62&amp;" — Please clarify — deviation from expected answer. Add details in Notes column."&amp;IF(Questions_Input!N62&lt;&gt;""," | Details: "&amp;Questions_Input!N62,"")))</f>
      </c>
    </row>
    <row r="63" ht="50" customHeight="1" spans="1:4" x14ac:dyDescent="0.25">
      <c r="A63" s="9" t="s">
        <v>228</v>
      </c>
      <c r="B63" s="9" t="s">
        <v>229</v>
      </c>
      <c r="C63" s="6" t="s">
        <v>300</v>
      </c>
      <c r="D63" s="14">
        <f>=IF(Questions_Input!H63="","— not yet answered —",IF(Questions_Input!I63=FALSE,"CSA completed. CRA will have access to all needed source data."&amp;IF(Questions_Input!N63&lt;&gt;""," | Note: "&amp;Questions_Input!N63,""),"[DEVIATION] Expected: "&amp;Questions_Input!D63&amp;" | Actual: "&amp;Questions_Input!H63&amp;" — Please clarify — deviation from expected answer. Add details in Notes column."&amp;IF(Questions_Input!N63&lt;&gt;""," | Details: "&amp;Questions_Input!N63,"")))</f>
      </c>
    </row>
    <row r="64" ht="50" customHeight="1" spans="1:4" x14ac:dyDescent="0.25">
      <c r="A64" s="9" t="s">
        <v>228</v>
      </c>
      <c r="B64" s="9" t="s">
        <v>232</v>
      </c>
      <c r="C64" s="6" t="s">
        <v>300</v>
      </c>
      <c r="D64" s="14">
        <f>=IF(Questions_Input!H64="","— not yet answered —",IF(Questions_Input!I64=FALSE,"PI is fully aware of responsibility."&amp;IF(Questions_Input!N64&lt;&gt;""," | Note: "&amp;Questions_Input!N64,""),"[DEVIATION] Expected: "&amp;Questions_Input!D64&amp;" | Actual: "&amp;Questions_Input!H64&amp;" — Please clarify — deviation from expected answer. Add details in Notes column."&amp;IF(Questions_Input!N64&lt;&gt;""," | Details: "&amp;Questions_Input!N64,"")))</f>
      </c>
    </row>
    <row r="65" ht="50" customHeight="1" spans="1:4" x14ac:dyDescent="0.25">
      <c r="A65" s="9" t="s">
        <v>228</v>
      </c>
      <c r="B65" s="9" t="s">
        <v>235</v>
      </c>
      <c r="C65" s="6" t="s">
        <v>300</v>
      </c>
      <c r="D65" s="14">
        <f>=IF(Questions_Input!H65="","— not yet answered —",IF(Questions_Input!I65=FALSE,"DOR completed during SIV. Scan collected and will be filed in eTMF."&amp;IF(Questions_Input!N65&lt;&gt;""," | Note: "&amp;Questions_Input!N65,""),"[DEVIATION] Expected: "&amp;Questions_Input!D65&amp;" | Actual: "&amp;Questions_Input!H65&amp;" — Please clarify — deviation from expected answer. Add details in Notes column."&amp;IF(Questions_Input!N65&lt;&gt;""," | Details: "&amp;Questions_Input!N65,"")))</f>
      </c>
    </row>
    <row r="66" ht="50" customHeight="1" spans="1:4" x14ac:dyDescent="0.25">
      <c r="A66" s="9" t="s">
        <v>228</v>
      </c>
      <c r="B66" s="9" t="s">
        <v>238</v>
      </c>
      <c r="C66" s="6" t="s">
        <v>300</v>
      </c>
      <c r="D66" s="14">
        <f>=IF(Questions_Input!H66="","— not yet answered —",IF(Questions_Input!I66=FALSE,"[As expected — add comment]"&amp;IF(Questions_Input!N66&lt;&gt;""," | Note: "&amp;Questions_Input!N66,""),"[DEVIATION] Expected: "&amp;Questions_Input!D66&amp;" | Actual: "&amp;Questions_Input!H66&amp;" — Please clarify — deviation from expected answer. Add details in Notes column."&amp;IF(Questions_Input!N66&lt;&gt;""," | Details: "&amp;Questions_Input!N66,"")))</f>
      </c>
    </row>
    <row r="67" ht="50" customHeight="1" spans="1:4" x14ac:dyDescent="0.25">
      <c r="A67" s="9" t="s">
        <v>228</v>
      </c>
      <c r="B67" s="9" t="s">
        <v>240</v>
      </c>
      <c r="C67" s="6" t="s">
        <v>300</v>
      </c>
      <c r="D67" s="14">
        <f>=IF(Questions_Input!H67="","— not yet answered —",IF(Questions_Input!I67=FALSE,"Site archive will be X."&amp;IF(Questions_Input!N67&lt;&gt;""," | Note: "&amp;Questions_Input!N67,""),"[DEVIATION] Expected: "&amp;Questions_Input!D67&amp;" | Actual: "&amp;Questions_Input!H67&amp;" — Please clarify — deviation from expected answer. Add details in Notes column."&amp;IF(Questions_Input!N67&lt;&gt;""," | Details: "&amp;Questions_Input!N67,"")))</f>
      </c>
    </row>
    <row r="68" ht="50" customHeight="1" spans="1:4" x14ac:dyDescent="0.25">
      <c r="A68" s="9" t="s">
        <v>228</v>
      </c>
      <c r="B68" s="9" t="s">
        <v>243</v>
      </c>
      <c r="C68" s="6" t="s">
        <v>300</v>
      </c>
      <c r="D68" s="14">
        <f>=IF(Questions_Input!H68="","— not yet answered —",IF(Questions_Input!I68=FALSE,"FDFs completed and collected from PI/SI."&amp;IF(Questions_Input!N68&lt;&gt;""," | Note: "&amp;Questions_Input!N68,""),"[DEVIATION] Expected: "&amp;Questions_Input!D68&amp;" | Actual: "&amp;Questions_Input!H68&amp;" — Please clarify — deviation from expected answer. Add details in Notes column."&amp;IF(Questions_Input!N68&lt;&gt;""," | Details: "&amp;Questions_Input!N68,"")))</f>
      </c>
    </row>
    <row r="69" ht="50" customHeight="1" spans="1:4" x14ac:dyDescent="0.25">
      <c r="A69" s="9" t="s">
        <v>228</v>
      </c>
      <c r="B69" s="9" t="s">
        <v>246</v>
      </c>
      <c r="C69" s="6" t="s">
        <v>300</v>
      </c>
      <c r="D69" s="14">
        <f>=IF(Questions_Input!H69="","— not yet answered —",IF(Questions_Input!I69=FALSE,"Site will inform CRA/LSAD immediately upon receiving any audit/inspection notification."&amp;IF(Questions_Input!N69&lt;&gt;""," | Note: "&amp;Questions_Input!N69,""),"[DEVIATION] Expected: "&amp;Questions_Input!D69&amp;" | Actual: "&amp;Questions_Input!H69&amp;" — Please clarify — deviation from expected answer. Add details in Notes column."&amp;IF(Questions_Input!N69&lt;&gt;""," | Details: "&amp;Questions_Input!N69,"")))</f>
      </c>
    </row>
    <row r="70" ht="50" customHeight="1" spans="1:4" x14ac:dyDescent="0.25">
      <c r="A70" s="9" t="s">
        <v>228</v>
      </c>
      <c r="B70" s="9" t="s">
        <v>249</v>
      </c>
      <c r="C70" s="6" t="s">
        <v>300</v>
      </c>
      <c r="D70" s="14">
        <f>=IF(Questions_Input!H70="","— not yet answered —",IF(Questions_Input!I70=FALSE,"ISF reviewed during SIV including AZ contact information."&amp;IF(Questions_Input!N70&lt;&gt;""," | Note: "&amp;Questions_Input!N70,""),"[DEVIATION] Expected: "&amp;Questions_Input!D70&amp;" | Actual: "&amp;Questions_Input!H70&amp;" — Please clarify — deviation from expected answer. Add details in Notes column."&amp;IF(Questions_Input!N70&lt;&gt;""," | Details: "&amp;Questions_Input!N70,"")))</f>
      </c>
    </row>
    <row r="71" ht="50" customHeight="1" spans="1:4" x14ac:dyDescent="0.25">
      <c r="A71" s="9" t="s">
        <v>228</v>
      </c>
      <c r="B71" s="9" t="s">
        <v>252</v>
      </c>
      <c r="C71" s="6" t="s">
        <v>300</v>
      </c>
      <c r="D71" s="14">
        <f>=IF(Questions_Input!H71="","— not yet answered —",IF(Questions_Input!I71=FALSE,"[As expected — add comment]"&amp;IF(Questions_Input!N71&lt;&gt;""," | Note: "&amp;Questions_Input!N71,""),"[DEVIATION] Expected: "&amp;Questions_Input!D71&amp;" | Actual: "&amp;Questions_Input!H71&amp;" — Please clarify — deviation from expected answer. Add details in Notes column."&amp;IF(Questions_Input!N71&lt;&gt;""," | Details: "&amp;Questions_Input!N71,"")))</f>
      </c>
    </row>
    <row r="72" ht="50" customHeight="1" spans="1:4" x14ac:dyDescent="0.25">
      <c r="A72" s="9" t="s">
        <v>228</v>
      </c>
      <c r="B72" s="9" t="s">
        <v>254</v>
      </c>
      <c r="C72" s="6" t="s">
        <v>300</v>
      </c>
      <c r="D72" s="14">
        <f>=IF(Questions_Input!H72="","— not yet answered —",IF(Questions_Input!I72=FALSE,"[As expected — add comment]"&amp;IF(Questions_Input!N72&lt;&gt;""," | Note: "&amp;Questions_Input!N72,""),"[DEVIATION] Expected: "&amp;Questions_Input!D72&amp;" | Actual: "&amp;Questions_Input!H72&amp;" — Please clarify — deviation from expected answer. Add details in Notes column."&amp;IF(Questions_Input!N72&lt;&gt;""," | Details: "&amp;Questions_Input!N72,"")))</f>
      </c>
    </row>
    <row r="73" ht="50" customHeight="1" spans="1:4" x14ac:dyDescent="0.25">
      <c r="A73" s="9" t="s">
        <v>228</v>
      </c>
      <c r="B73" s="9" t="s">
        <v>256</v>
      </c>
      <c r="C73" s="6" t="s">
        <v>300</v>
      </c>
      <c r="D73" s="14">
        <f>=IF(Questions_Input!H73="","— not yet answered —",IF(Questions_Input!I73=FALSE,"New safety information via Veeva Site Connect; PI and SI must acknowledge electronically."&amp;IF(Questions_Input!N73&lt;&gt;""," | Note: "&amp;Questions_Input!N73,""),"[DEVIATION] Expected: "&amp;Questions_Input!D73&amp;" | Actual: "&amp;Questions_Input!H73&amp;" — Please clarify — deviation from expected answer. Add details in Notes column."&amp;IF(Questions_Input!N73&lt;&gt;""," | Details: "&amp;Questions_Input!N73,"")))</f>
      </c>
    </row>
    <row r="74" ht="50" customHeight="1" spans="1:4" x14ac:dyDescent="0.25">
      <c r="A74" s="9" t="s">
        <v>228</v>
      </c>
      <c r="B74" s="9" t="s">
        <v>259</v>
      </c>
      <c r="C74" s="6" t="s">
        <v>300</v>
      </c>
      <c r="D74" s="14">
        <f>=IF(Questions_Input!H74="","— not yet answered —",IF(Questions_Input!I74=FALSE,"Tools: MonTE (IMP temp tracking), Signant Health, IRT &amp; eCOA/ePRO, iMediData Rave EDC, IOVIA Central Lab, ICON Adjudication, Teckro."&amp;IF(Questions_Input!N74&lt;&gt;""," | Note: "&amp;Questions_Input!N74,""),"[DEVIATION] Expected: "&amp;Questions_Input!D74&amp;" | Actual: "&amp;Questions_Input!H74&amp;" — Please clarify — deviation from expected answer. Add details in Notes column."&amp;IF(Questions_Input!N74&lt;&gt;""," | Details: "&amp;Questions_Input!N74,"")))</f>
      </c>
    </row>
    <row r="75" ht="50" customHeight="1" spans="1:4" x14ac:dyDescent="0.25">
      <c r="A75" s="9" t="s">
        <v>228</v>
      </c>
      <c r="B75" s="9" t="s">
        <v>262</v>
      </c>
      <c r="C75" s="6" t="s">
        <v>300</v>
      </c>
      <c r="D75" s="14">
        <f>=IF(Questions_Input!H75="","— not yet answered —",IF(Questions_Input!I75=FALSE,"[As expected — add comment]"&amp;IF(Questions_Input!N75&lt;&gt;""," | Note: "&amp;Questions_Input!N75,""),"[DEVIATION] Expected: "&amp;Questions_Input!D75&amp;" | Actual: "&amp;Questions_Input!H75&amp;" — Please clarify — deviation from expected answer. Add details in Notes column."&amp;IF(Questions_Input!N75&lt;&gt;""," | Details: "&amp;Questions_Input!N75,"")))</f>
      </c>
    </row>
  </sheetData>
  <mergeCells count="1">
    <mergeCell ref="A1:D1"/>
  </mergeCells>
  <conditionalFormatting sqref="A3:D75">
    <cfRule type="expression" dxfId="6" priority="1">
      <formula>Questions_Input!I3=TRUE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Admin_Info</vt:lpstr>
      <vt:lpstr>Questions_Input</vt:lpstr>
      <vt:lpstr>Issue_Log</vt:lpstr>
      <vt:lpstr>Observation_Log</vt:lpstr>
      <vt:lpstr>Follow_Up_Items</vt:lpstr>
      <vt:lpstr>Report_Comments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SIV Report Generator</dc:creator>
  <dc:title/>
  <dc:subject/>
  <dc:description/>
  <cp:keywords/>
  <cp:category/>
  <cp:lastModifiedBy>Unknown</cp:lastModifiedBy>
  <dcterms:created xsi:type="dcterms:W3CDTF">2026-06-26T19:53:18Z</dcterms:created>
  <dcterms:modified xsi:type="dcterms:W3CDTF">2026-06-26T19:53:18Z</dcterms:modified>
</cp:coreProperties>
</file>